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Iniciativas" sheetId="2" state="visible" r:id="rId4"/>
    <sheet name="Cambios" sheetId="3" state="visible" r:id="rId5"/>
    <sheet name="Resultad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<sst xmlns="http://schemas.openxmlformats.org/spreadsheetml/2006/main" count="362" uniqueCount="325">
  <si>
    <t xml:space="preserve">T1 · Planilla de captura — revisión retrospectiva de 10 iniciativas</t>
  </si>
  <si>
    <t xml:space="preserve">Test T1 de product/tests/2026-10-17-1210-desvio-estimacion-diseno.md. Las reglas de clasificación están en 01-hoja-de-definiciones.md.</t>
  </si>
  <si>
    <t xml:space="preserve">Cómo llenarla</t>
  </si>
  <si>
    <t xml:space="preserve">1. Pestaña Iniciativas: anotar las 10 iniciativas en orden, de la más reciente hacia atrás, sin saltarse ninguna. Anotar en Resultado la fecha en que se cerró la lista, antes de revisar cualquier cambio.</t>
  </si>
  <si>
    <t xml:space="preserve">2. Pestaña Cambios, columnas de hechos (B a J): una fila por cada cambio que aparezca en documentos o entrevistas. Las llena Pancho.</t>
  </si>
  <si>
    <t xml:space="preserve">3. Clasificación ciega: cada clasificador trabaja en su propia copia del archivo y llena solo su columna (O o P) con Detectable / No detectable, sin ver la del otro. Después se pega la columna P de la copia de B en este archivo.</t>
  </si>
  <si>
    <t xml:space="preserve">4. Con las dos columnas juntas, el acuerdo inicial queda calculado (columna Q). Recién entonces se conversan los desacuerdos y se llenan L, M, N (lo acordado), R (clasificación final) y S (cómo se resolvió).</t>
  </si>
  <si>
    <t xml:space="preserve">5. La pestaña Resultado calcula la señal, las condiciones de validez y qué dice la regla de decisión. La decisión se registra después, con /analyze-solution-tests.</t>
  </si>
  <si>
    <t xml:space="preserve">Leyenda</t>
  </si>
  <si>
    <t xml:space="preserve">Celda amarilla: se llena a mano.</t>
  </si>
  <si>
    <t xml:space="preserve">Celda gris: fórmula, no se edita.</t>
  </si>
  <si>
    <t xml:space="preserve">Los umbrales de la pestaña Resultado vienen del diseño del test y no se cambian. Si hubiera que moverlos, se registra en product/corrections.md.</t>
  </si>
  <si>
    <t xml:space="preserve">Fila de ejemplo (DATOS FICTICIOS, solo para mostrar el formato; no se copia a la planilla)</t>
  </si>
  <si>
    <t xml:space="preserve">ID cambio</t>
  </si>
  <si>
    <t xml:space="preserve">ID iniciativa</t>
  </si>
  <si>
    <t xml:space="preserve">Qué cambió</t>
  </si>
  <si>
    <t xml:space="preserve">Fecha del cambio</t>
  </si>
  <si>
    <t xml:space="preserve">Inicio del diseño</t>
  </si>
  <si>
    <t xml:space="preserve">¿Después del inicio?</t>
  </si>
  <si>
    <t xml:space="preserve">Quién lo pidió</t>
  </si>
  <si>
    <t xml:space="preserve">Origen</t>
  </si>
  <si>
    <t xml:space="preserve">¿Obligó a rehacer diseño?</t>
  </si>
  <si>
    <t xml:space="preserve">Qué se rehízo</t>
  </si>
  <si>
    <t xml:space="preserve">¿Cuenta como cambio?</t>
  </si>
  <si>
    <t xml:space="preserve">Ítem del criterio</t>
  </si>
  <si>
    <t xml:space="preserve">¿Validado al inicio?</t>
  </si>
  <si>
    <t xml:space="preserve">Fuente de la validación</t>
  </si>
  <si>
    <t xml:space="preserve">Clasificación A (Pancho)</t>
  </si>
  <si>
    <t xml:space="preserve">Clasificación B</t>
  </si>
  <si>
    <t xml:space="preserve">¿Acuerdo inicial?</t>
  </si>
  <si>
    <t xml:space="preserve">Clasificación final</t>
  </si>
  <si>
    <t xml:space="preserve">Cómo se resolvió</t>
  </si>
  <si>
    <t xml:space="preserve">Fuentes</t>
  </si>
  <si>
    <t xml:space="preserve">C01</t>
  </si>
  <si>
    <t xml:space="preserve">I01</t>
  </si>
  <si>
    <t xml:space="preserve">[FICTICIO] Negocio cambia el tope del descuento por convenio</t>
  </si>
  <si>
    <t xml:space="preserve">2026-03-12</t>
  </si>
  <si>
    <t xml:space="preserve">2026-03-02</t>
  </si>
  <si>
    <t xml:space="preserve">Sí</t>
  </si>
  <si>
    <t xml:space="preserve">Subgerente comercial</t>
  </si>
  <si>
    <t xml:space="preserve">Pedido o redefinición</t>
  </si>
  <si>
    <t xml:space="preserve">Pantalla de resumen y mensaje de error</t>
  </si>
  <si>
    <t xml:space="preserve">1 Reglas de negocio</t>
  </si>
  <si>
    <t xml:space="preserve">No</t>
  </si>
  <si>
    <t xml:space="preserve">Sin registro de la regla antes del 02-03 (Confluence revisado)</t>
  </si>
  <si>
    <t xml:space="preserve">Detectable</t>
  </si>
  <si>
    <t xml:space="preserve">—</t>
  </si>
  <si>
    <t xml:space="preserve">JIRA-123; entrevista diseñador 2026-10-20</t>
  </si>
  <si>
    <t xml:space="preserve">Orden</t>
  </si>
  <si>
    <t xml:space="preserve">Iniciativa</t>
  </si>
  <si>
    <t xml:space="preserve">Fecha de cierre</t>
  </si>
  <si>
    <t xml:space="preserve">Diseño planificado (misma unidad que el real)</t>
  </si>
  <si>
    <t xml:space="preserve">Diseño real</t>
  </si>
  <si>
    <t xml:space="preserve">Desvío</t>
  </si>
  <si>
    <t xml:space="preserve">¿Desvío ≥ 30%?</t>
  </si>
  <si>
    <t xml:space="preserve">Fuente del desvío</t>
  </si>
  <si>
    <t xml:space="preserve">Fuente del inicio</t>
  </si>
  <si>
    <t xml:space="preserve">Diseñador entrevistado</t>
  </si>
  <si>
    <t xml:space="preserve">PO entrevistada</t>
  </si>
  <si>
    <t xml:space="preserve">Procedencia</t>
  </si>
  <si>
    <t xml:space="preserve">Cambios que cuentan</t>
  </si>
  <si>
    <t xml:space="preserve">Notas</t>
  </si>
  <si>
    <t xml:space="preserve">real</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</si>
  <si>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</si>
  <si>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</si>
  <si>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</si>
  <si>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</si>
  <si>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</si>
  <si>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</si>
  <si>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</si>
  <si>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</si>
  <si>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</si>
  <si>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Procedencia: real = el diseñador y la PO que trabajaron en esa iniciativa. stand-in = otra persona respondió por ellos; anotar quién en Notas.</t>
  </si>
  <si>
    <t xml:space="preserve">Desvío = real / planificado − 1. Si el desvío viene del diseñador y la PO y no de Jira, anotar los dos números que dieron.</t>
  </si>
  <si>
    <t xml:space="preserve">La lista se cierra antes de revisar cualquier cambio: después no entra ni sale ninguna iniciativa.</t>
  </si>
  <si>
    <t xml:space="preserve">Ítem del criterio (acordado)</t>
  </si>
  <si>
    <t xml:space="preserve">¿Validado al inicio? (acordado)</t>
  </si>
  <si>
    <t xml:space="preserve">Fuentes (documentos y entrevistas)</t>
  </si>
  <si>
    <t xml:space="preserve">C001</t>
  </si>
  <si>
    <t xml:space="preserve">C002</t>
  </si>
  <si>
    <t xml:space="preserve">C003</t>
  </si>
  <si>
    <t xml:space="preserve">C004</t>
  </si>
  <si>
    <t xml:space="preserve">C005</t>
  </si>
  <si>
    <t xml:space="preserve">C006</t>
  </si>
  <si>
    <t xml:space="preserve">C007</t>
  </si>
  <si>
    <t xml:space="preserve">C008</t>
  </si>
  <si>
    <t xml:space="preserve">C009</t>
  </si>
  <si>
    <t xml:space="preserve">C010</t>
  </si>
  <si>
    <t xml:space="preserve">C011</t>
  </si>
  <si>
    <t xml:space="preserve">C012</t>
  </si>
  <si>
    <t xml:space="preserve">C013</t>
  </si>
  <si>
    <t xml:space="preserve">C014</t>
  </si>
  <si>
    <t xml:space="preserve">C015</t>
  </si>
  <si>
    <t xml:space="preserve">C016</t>
  </si>
  <si>
    <t xml:space="preserve">C017</t>
  </si>
  <si>
    <t xml:space="preserve">C018</t>
  </si>
  <si>
    <t xml:space="preserve">C019</t>
  </si>
  <si>
    <t xml:space="preserve">C020</t>
  </si>
  <si>
    <t xml:space="preserve">C021</t>
  </si>
  <si>
    <t xml:space="preserve">C022</t>
  </si>
  <si>
    <t xml:space="preserve">C023</t>
  </si>
  <si>
    <t xml:space="preserve">C024</t>
  </si>
  <si>
    <t xml:space="preserve">C025</t>
  </si>
  <si>
    <t xml:space="preserve">C026</t>
  </si>
  <si>
    <t xml:space="preserve">C027</t>
  </si>
  <si>
    <t xml:space="preserve">C028</t>
  </si>
  <si>
    <t xml:space="preserve">C029</t>
  </si>
  <si>
    <t xml:space="preserve">C030</t>
  </si>
  <si>
    <t xml:space="preserve">C031</t>
  </si>
  <si>
    <t xml:space="preserve">C032</t>
  </si>
  <si>
    <t xml:space="preserve">C033</t>
  </si>
  <si>
    <t xml:space="preserve">C034</t>
  </si>
  <si>
    <t xml:space="preserve">C035</t>
  </si>
  <si>
    <t xml:space="preserve">C036</t>
  </si>
  <si>
    <t xml:space="preserve">C037</t>
  </si>
  <si>
    <t xml:space="preserve">C038</t>
  </si>
  <si>
    <t xml:space="preserve">C039</t>
  </si>
  <si>
    <t xml:space="preserve">C040</t>
  </si>
  <si>
    <t xml:space="preserve">C041</t>
  </si>
  <si>
    <t xml:space="preserve">C042</t>
  </si>
  <si>
    <t xml:space="preserve">C043</t>
  </si>
  <si>
    <t xml:space="preserve">C044</t>
  </si>
  <si>
    <t xml:space="preserve">C045</t>
  </si>
  <si>
    <t xml:space="preserve">C046</t>
  </si>
  <si>
    <t xml:space="preserve">C047</t>
  </si>
  <si>
    <t xml:space="preserve">C048</t>
  </si>
  <si>
    <t xml:space="preserve">C049</t>
  </si>
  <si>
    <t xml:space="preserve">C050</t>
  </si>
  <si>
    <t xml:space="preserve">C051</t>
  </si>
  <si>
    <t xml:space="preserve">C052</t>
  </si>
  <si>
    <t xml:space="preserve">C053</t>
  </si>
  <si>
    <t xml:space="preserve">C054</t>
  </si>
  <si>
    <t xml:space="preserve">C055</t>
  </si>
  <si>
    <t xml:space="preserve">C056</t>
  </si>
  <si>
    <t xml:space="preserve">C057</t>
  </si>
  <si>
    <t xml:space="preserve">C058</t>
  </si>
  <si>
    <t xml:space="preserve">C059</t>
  </si>
  <si>
    <t xml:space="preserve">C060</t>
  </si>
  <si>
    <t xml:space="preserve">C061</t>
  </si>
  <si>
    <t xml:space="preserve">C062</t>
  </si>
  <si>
    <t xml:space="preserve">C063</t>
  </si>
  <si>
    <t xml:space="preserve">C064</t>
  </si>
  <si>
    <t xml:space="preserve">C065</t>
  </si>
  <si>
    <t xml:space="preserve">C066</t>
  </si>
  <si>
    <t xml:space="preserve">C067</t>
  </si>
  <si>
    <t xml:space="preserve">C068</t>
  </si>
  <si>
    <t xml:space="preserve">C069</t>
  </si>
  <si>
    <t xml:space="preserve">C070</t>
  </si>
  <si>
    <t xml:space="preserve">C071</t>
  </si>
  <si>
    <t xml:space="preserve">C072</t>
  </si>
  <si>
    <t xml:space="preserve">C073</t>
  </si>
  <si>
    <t xml:space="preserve">C074</t>
  </si>
  <si>
    <t xml:space="preserve">C075</t>
  </si>
  <si>
    <t xml:space="preserve">C076</t>
  </si>
  <si>
    <t xml:space="preserve">C077</t>
  </si>
  <si>
    <t xml:space="preserve">C078</t>
  </si>
  <si>
    <t xml:space="preserve">C079</t>
  </si>
  <si>
    <t xml:space="preserve">C080</t>
  </si>
  <si>
    <t xml:space="preserve">C081</t>
  </si>
  <si>
    <t xml:space="preserve">C082</t>
  </si>
  <si>
    <t xml:space="preserve">C083</t>
  </si>
  <si>
    <t xml:space="preserve">C084</t>
  </si>
  <si>
    <t xml:space="preserve">C085</t>
  </si>
  <si>
    <t xml:space="preserve">C086</t>
  </si>
  <si>
    <t xml:space="preserve">C087</t>
  </si>
  <si>
    <t xml:space="preserve">C088</t>
  </si>
  <si>
    <t xml:space="preserve">C089</t>
  </si>
  <si>
    <t xml:space="preserve">C090</t>
  </si>
  <si>
    <t xml:space="preserve">C091</t>
  </si>
  <si>
    <t xml:space="preserve">C092</t>
  </si>
  <si>
    <t xml:space="preserve">C093</t>
  </si>
  <si>
    <t xml:space="preserve">C094</t>
  </si>
  <si>
    <t xml:space="preserve">C095</t>
  </si>
  <si>
    <t xml:space="preserve">C096</t>
  </si>
  <si>
    <t xml:space="preserve">C097</t>
  </si>
  <si>
    <t xml:space="preserve">C098</t>
  </si>
  <si>
    <t xml:space="preserve">C099</t>
  </si>
  <si>
    <t xml:space="preserve">C100</t>
  </si>
  <si>
    <t xml:space="preserve">C101</t>
  </si>
  <si>
    <t xml:space="preserve">C102</t>
  </si>
  <si>
    <t xml:space="preserve">C103</t>
  </si>
  <si>
    <t xml:space="preserve">C104</t>
  </si>
  <si>
    <t xml:space="preserve">C105</t>
  </si>
  <si>
    <t xml:space="preserve">C106</t>
  </si>
  <si>
    <t xml:space="preserve">C107</t>
  </si>
  <si>
    <t xml:space="preserve">C108</t>
  </si>
  <si>
    <t xml:space="preserve">C109</t>
  </si>
  <si>
    <t xml:space="preserve">C110</t>
  </si>
  <si>
    <t xml:space="preserve">C111</t>
  </si>
  <si>
    <t xml:space="preserve">C112</t>
  </si>
  <si>
    <t xml:space="preserve">C113</t>
  </si>
  <si>
    <t xml:space="preserve">C114</t>
  </si>
  <si>
    <t xml:space="preserve">C115</t>
  </si>
  <si>
    <t xml:space="preserve">C116</t>
  </si>
  <si>
    <t xml:space="preserve">C117</t>
  </si>
  <si>
    <t xml:space="preserve">C118</t>
  </si>
  <si>
    <t xml:space="preserve">C119</t>
  </si>
  <si>
    <t xml:space="preserve">C120</t>
  </si>
  <si>
    <t xml:space="preserve">C121</t>
  </si>
  <si>
    <t xml:space="preserve">C122</t>
  </si>
  <si>
    <t xml:space="preserve">C123</t>
  </si>
  <si>
    <t xml:space="preserve">C124</t>
  </si>
  <si>
    <t xml:space="preserve">C125</t>
  </si>
  <si>
    <t xml:space="preserve">C126</t>
  </si>
  <si>
    <t xml:space="preserve">C127</t>
  </si>
  <si>
    <t xml:space="preserve">C128</t>
  </si>
  <si>
    <t xml:space="preserve">C129</t>
  </si>
  <si>
    <t xml:space="preserve">C130</t>
  </si>
  <si>
    <t xml:space="preserve">C131</t>
  </si>
  <si>
    <t xml:space="preserve">C132</t>
  </si>
  <si>
    <t xml:space="preserve">C133</t>
  </si>
  <si>
    <t xml:space="preserve">C134</t>
  </si>
  <si>
    <t xml:space="preserve">C135</t>
  </si>
  <si>
    <t xml:space="preserve">C136</t>
  </si>
  <si>
    <t xml:space="preserve">C137</t>
  </si>
  <si>
    <t xml:space="preserve">C138</t>
  </si>
  <si>
    <t xml:space="preserve">C139</t>
  </si>
  <si>
    <t xml:space="preserve">C140</t>
  </si>
  <si>
    <t xml:space="preserve">C141</t>
  </si>
  <si>
    <t xml:space="preserve">C142</t>
  </si>
  <si>
    <t xml:space="preserve">C143</t>
  </si>
  <si>
    <t xml:space="preserve">C144</t>
  </si>
  <si>
    <t xml:space="preserve">C145</t>
  </si>
  <si>
    <t xml:space="preserve">C146</t>
  </si>
  <si>
    <t xml:space="preserve">C147</t>
  </si>
  <si>
    <t xml:space="preserve">C148</t>
  </si>
  <si>
    <t xml:space="preserve">C149</t>
  </si>
  <si>
    <t xml:space="preserve">C150</t>
  </si>
  <si>
    <t xml:space="preserve">C151</t>
  </si>
  <si>
    <t xml:space="preserve">C152</t>
  </si>
  <si>
    <t xml:space="preserve">C153</t>
  </si>
  <si>
    <t xml:space="preserve">C154</t>
  </si>
  <si>
    <t xml:space="preserve">C155</t>
  </si>
  <si>
    <t xml:space="preserve">C156</t>
  </si>
  <si>
    <t xml:space="preserve">C157</t>
  </si>
  <si>
    <t xml:space="preserve">C158</t>
  </si>
  <si>
    <t xml:space="preserve">C159</t>
  </si>
  <si>
    <t xml:space="preserve">C160</t>
  </si>
  <si>
    <t xml:space="preserve">C161</t>
  </si>
  <si>
    <t xml:space="preserve">C162</t>
  </si>
  <si>
    <t xml:space="preserve">C163</t>
  </si>
  <si>
    <t xml:space="preserve">C164</t>
  </si>
  <si>
    <t xml:space="preserve">C165</t>
  </si>
  <si>
    <t xml:space="preserve">C166</t>
  </si>
  <si>
    <t xml:space="preserve">C167</t>
  </si>
  <si>
    <t xml:space="preserve">C168</t>
  </si>
  <si>
    <t xml:space="preserve">C169</t>
  </si>
  <si>
    <t xml:space="preserve">C170</t>
  </si>
  <si>
    <t xml:space="preserve">C171</t>
  </si>
  <si>
    <t xml:space="preserve">C172</t>
  </si>
  <si>
    <t xml:space="preserve">C173</t>
  </si>
  <si>
    <t xml:space="preserve">C174</t>
  </si>
  <si>
    <t xml:space="preserve">C175</t>
  </si>
  <si>
    <t xml:space="preserve">C176</t>
  </si>
  <si>
    <t xml:space="preserve">C177</t>
  </si>
  <si>
    <t xml:space="preserve">C178</t>
  </si>
  <si>
    <t xml:space="preserve">C179</t>
  </si>
  <si>
    <t xml:space="preserve">C180</t>
  </si>
  <si>
    <t xml:space="preserve">C181</t>
  </si>
  <si>
    <t xml:space="preserve">C182</t>
  </si>
  <si>
    <t xml:space="preserve">C183</t>
  </si>
  <si>
    <t xml:space="preserve">C184</t>
  </si>
  <si>
    <t xml:space="preserve">C185</t>
  </si>
  <si>
    <t xml:space="preserve">C186</t>
  </si>
  <si>
    <t xml:space="preserve">C187</t>
  </si>
  <si>
    <t xml:space="preserve">C188</t>
  </si>
  <si>
    <t xml:space="preserve">C189</t>
  </si>
  <si>
    <t xml:space="preserve">C190</t>
  </si>
  <si>
    <t xml:space="preserve">C191</t>
  </si>
  <si>
    <t xml:space="preserve">C192</t>
  </si>
  <si>
    <t xml:space="preserve">C193</t>
  </si>
  <si>
    <t xml:space="preserve">C194</t>
  </si>
  <si>
    <t xml:space="preserve">C195</t>
  </si>
  <si>
    <t xml:space="preserve">C196</t>
  </si>
  <si>
    <t xml:space="preserve">C197</t>
  </si>
  <si>
    <t xml:space="preserve">C198</t>
  </si>
  <si>
    <t xml:space="preserve">C199</t>
  </si>
  <si>
    <t xml:space="preserve">C200</t>
  </si>
  <si>
    <t xml:space="preserve">T1 · Resultado</t>
  </si>
  <si>
    <t xml:space="preserve">La decisión no se toma aquí: esta pestaña calcula la señal y la lee contra el umbral escrito en el diseño. La decisión se registra con /analyze-solution-tests.</t>
  </si>
  <si>
    <t xml:space="preserve">Umbrales fijados en el diseño del test (no se editan)</t>
  </si>
  <si>
    <t xml:space="preserve">Desvío mínimo para entrar a la lista</t>
  </si>
  <si>
    <t xml:space="preserve">Fuente: T1, paso 2.</t>
  </si>
  <si>
    <t xml:space="preserve">Umbral de detección para continue</t>
  </si>
  <si>
    <t xml:space="preserve">Fuente: T1, señal y umbral.</t>
  </si>
  <si>
    <t xml:space="preserve">Límite inferior para change (bajo esto, discard)</t>
  </si>
  <si>
    <t xml:space="preserve">Fuente: T1, regla de decisión.</t>
  </si>
  <si>
    <t xml:space="preserve">Mínimo de iniciativas con cambios documentados</t>
  </si>
  <si>
    <t xml:space="preserve">Fuente: T1, condición de validez.</t>
  </si>
  <si>
    <t xml:space="preserve">Mínimo de cambios en total</t>
  </si>
  <si>
    <t xml:space="preserve">Mínimo de acuerdo inicial entre clasificadores</t>
  </si>
  <si>
    <t xml:space="preserve">Fechas del procedimiento</t>
  </si>
  <si>
    <t xml:space="preserve">Definiciones fijadas el</t>
  </si>
  <si>
    <t xml:space="preserve">Tiene que ser anterior a abrir cualquier iniciativa.</t>
  </si>
  <si>
    <t xml:space="preserve">Lista de iniciativas cerrada el</t>
  </si>
  <si>
    <t xml:space="preserve">Tiene que ser anterior a revisar cualquier cambio.</t>
  </si>
  <si>
    <t xml:space="preserve">Acuerdo inicial calculado el</t>
  </si>
  <si>
    <t xml:space="preserve">Antes de conversar los desacuerdos.</t>
  </si>
  <si>
    <t xml:space="preserve">Conteos</t>
  </si>
  <si>
    <t xml:space="preserve">Iniciativas en la lista</t>
  </si>
  <si>
    <t xml:space="preserve">Iniciativas con desvío ≥ 30%</t>
  </si>
  <si>
    <t xml:space="preserve">Debería ser igual a la fila anterior.</t>
  </si>
  <si>
    <t xml:space="preserve">Iniciativas con al menos un cambio que cuenta</t>
  </si>
  <si>
    <t xml:space="preserve">Cambios que cuentan (denominador)</t>
  </si>
  <si>
    <t xml:space="preserve">Pedidos después del inicio del diseño y que obligaron a rehacer diseño.</t>
  </si>
  <si>
    <t xml:space="preserve">Cambios con las dos clasificaciones (A y B)</t>
  </si>
  <si>
    <t xml:space="preserve">Cambios en que A y B coincidieron</t>
  </si>
  <si>
    <t xml:space="preserve">Cambios con clasificación final</t>
  </si>
  <si>
    <t xml:space="preserve">Cambios detectables (clasificación final)</t>
  </si>
  <si>
    <t xml:space="preserve">Señal</t>
  </si>
  <si>
    <t xml:space="preserve">Acuerdo inicial</t>
  </si>
  <si>
    <t xml:space="preserve">Cambios detectables sobre el total (la señal)</t>
  </si>
  <si>
    <t xml:space="preserve">Condiciones de validez</t>
  </si>
  <si>
    <t xml:space="preserve">Al menos 6 iniciativas con cambios documentados</t>
  </si>
  <si>
    <t xml:space="preserve">Al menos 10 cambios en total</t>
  </si>
  <si>
    <t xml:space="preserve">Acuerdo inicial de 70% o más</t>
  </si>
  <si>
    <t xml:space="preserve">Todos los cambios tienen clasificación final</t>
  </si>
  <si>
    <t xml:space="preserve">Lectura según la regla de decisión del diseño</t>
  </si>
  <si>
    <t xml:space="preserve">Resultado del test</t>
  </si>
  <si>
    <t xml:space="preserve">passed = 60% o más. Bajo 60% el test no pasa, y la regla distingue change de discard (fila siguiente).</t>
  </si>
  <si>
    <t xml:space="preserve">Lo que indica la regla</t>
  </si>
  <si>
    <t xml:space="preserve">Detectables por ítem (para leer un posible change)</t>
  </si>
  <si>
    <t xml:space="preserve">La regla de change pide limitar el criterio a los ítems que sí detectaron cambios.</t>
  </si>
  <si>
    <t xml:space="preserve">2 Legal o compliance</t>
  </si>
  <si>
    <t xml:space="preserve">3 Alcance</t>
  </si>
</sst>
</file>

<file path=xl/styles.xml><?xml version="1.0" encoding="utf-8"?>
<styleSheet xmlns="http://schemas.openxmlformats.org/spreadsheetml/2006/main">
  <numFmts count="3">
    <numFmt numFmtId="164" formatCode="General"/>
    <numFmt numFmtId="165" formatCode="yyyy\-mm\-dd"/>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i val="true"/>
      <sz val="10"/>
      <color rgb="FF7A5C00"/>
      <name val="Arial"/>
      <family val="0"/>
      <charset val="1"/>
    </font>
    <font>
      <i val="true"/>
      <sz val="9"/>
      <color rgb="FF555555"/>
      <name val="Arial"/>
      <family val="0"/>
      <charset val="1"/>
    </font>
  </fonts>
  <fills count="6">
    <fill>
      <patternFill patternType="none"/>
    </fill>
    <fill>
      <patternFill patternType="gray125"/>
    </fill>
    <fill>
      <patternFill patternType="solid">
        <fgColor rgb="FF2F5D8A"/>
        <bgColor rgb="FF555555"/>
      </patternFill>
    </fill>
    <fill>
      <patternFill patternType="solid">
        <fgColor rgb="FF6B6B6B"/>
        <bgColor rgb="FF808080"/>
      </patternFill>
    </fill>
    <fill>
      <patternFill patternType="solid">
        <fgColor rgb="FFEDEDED"/>
        <bgColor rgb="FFFFF6CC"/>
      </patternFill>
    </fill>
    <fill>
      <patternFill patternType="solid">
        <fgColor rgb="FFFFF6CC"/>
        <bgColor rgb="FFEDEDED"/>
      </patternFill>
    </fill>
  </fills>
  <borders count="2">
    <border diagonalUp="false" diagonalDown="false">
      <left/>
      <right/>
      <top/>
      <bottom/>
      <diagonal/>
    </border>
    <border diagonalUp="false" diagonalDown="false">
      <left style="thin">
        <color rgb="FFC8C8C8"/>
      </left>
      <right style="thin">
        <color rgb="FFC8C8C8"/>
      </right>
      <top style="thin">
        <color rgb="FFC8C8C8"/>
      </top>
      <bottom style="thin">
        <color rgb="FFC8C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6" fontId="5" fillId="4"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C8C8C8"/>
      <rgbColor rgb="FF808080"/>
      <rgbColor rgb="FF9999FF"/>
      <rgbColor rgb="FF993366"/>
      <rgbColor rgb="FFFFF6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B6B6B"/>
      <rgbColor rgb="FF969696"/>
      <rgbColor rgb="FF003366"/>
      <rgbColor rgb="FF339966"/>
      <rgbColor rgb="FF003300"/>
      <rgbColor rgb="FF333300"/>
      <rgbColor rgb="FF993300"/>
      <rgbColor rgb="FF993366"/>
      <rgbColor rgb="FF2F5D8A"/>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D8A"/>
    <pageSetUpPr fitToPage="false"/>
  </sheetPr>
  <dimension ref="A1:T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0" min="2" style="0" width="18"/>
  </cols>
  <sheetData>
    <row r="1" customFormat="false" ht="16.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23.85" hidden="false" customHeight="false" outlineLevel="0" collapsed="false">
      <c r="A8" s="2" t="s">
        <v>6</v>
      </c>
    </row>
    <row r="9" customFormat="false" ht="23.8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23.85" hidden="false" customHeight="false" outlineLevel="0" collapsed="false">
      <c r="A17" s="4" t="s">
        <v>13</v>
      </c>
      <c r="B17" s="4" t="s">
        <v>14</v>
      </c>
      <c r="C17" s="4" t="s">
        <v>15</v>
      </c>
      <c r="D17" s="4" t="s">
        <v>16</v>
      </c>
      <c r="E17" s="4" t="s">
        <v>17</v>
      </c>
      <c r="F17" s="4" t="s">
        <v>18</v>
      </c>
      <c r="G17" s="4" t="s">
        <v>19</v>
      </c>
      <c r="H17" s="4" t="s">
        <v>20</v>
      </c>
      <c r="I17" s="4" t="s">
        <v>21</v>
      </c>
      <c r="J17" s="4" t="s">
        <v>22</v>
      </c>
      <c r="K17" s="4" t="s">
        <v>23</v>
      </c>
      <c r="L17" s="4" t="s">
        <v>24</v>
      </c>
      <c r="M17" s="4" t="s">
        <v>25</v>
      </c>
      <c r="N17" s="4" t="s">
        <v>26</v>
      </c>
      <c r="O17" s="4" t="s">
        <v>27</v>
      </c>
      <c r="P17" s="4" t="s">
        <v>28</v>
      </c>
      <c r="Q17" s="4" t="s">
        <v>29</v>
      </c>
      <c r="R17" s="4" t="s">
        <v>30</v>
      </c>
      <c r="S17" s="4" t="s">
        <v>31</v>
      </c>
      <c r="T17" s="4" t="s">
        <v>32</v>
      </c>
    </row>
    <row r="18" customFormat="false" ht="46.25" hidden="false" customHeight="false" outlineLevel="0" collapsed="false">
      <c r="A18" s="5" t="s">
        <v>33</v>
      </c>
      <c r="B18" s="5" t="s">
        <v>34</v>
      </c>
      <c r="C18" s="5" t="s">
        <v>35</v>
      </c>
      <c r="D18" s="5" t="s">
        <v>36</v>
      </c>
      <c r="E18" s="5" t="s">
        <v>37</v>
      </c>
      <c r="F18" s="5" t="s">
        <v>38</v>
      </c>
      <c r="G18" s="5" t="s">
        <v>39</v>
      </c>
      <c r="H18" s="5" t="s">
        <v>40</v>
      </c>
      <c r="I18" s="5" t="s">
        <v>38</v>
      </c>
      <c r="J18" s="5" t="s">
        <v>41</v>
      </c>
      <c r="K18" s="5" t="s">
        <v>38</v>
      </c>
      <c r="L18" s="5" t="s">
        <v>42</v>
      </c>
      <c r="M18" s="5" t="s">
        <v>43</v>
      </c>
      <c r="N18" s="5" t="s">
        <v>44</v>
      </c>
      <c r="O18" s="5" t="s">
        <v>45</v>
      </c>
      <c r="P18" s="5" t="s">
        <v>45</v>
      </c>
      <c r="Q18" s="5" t="s">
        <v>38</v>
      </c>
      <c r="R18" s="5" t="s">
        <v>45</v>
      </c>
      <c r="S18" s="5" t="s">
        <v>46</v>
      </c>
      <c r="T18"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34"/>
    <col collapsed="false" customWidth="true" hidden="false" outlineLevel="0" max="4" min="4" style="0" width="13"/>
    <col collapsed="false" customWidth="true" hidden="false" outlineLevel="0" max="5" min="5" style="0" width="15"/>
    <col collapsed="false" customWidth="true" hidden="false" outlineLevel="0" max="6" min="6" style="0" width="12"/>
    <col collapsed="false" customWidth="true" hidden="false" outlineLevel="0" max="7" min="7" style="0" width="10"/>
    <col collapsed="false" customWidth="true" hidden="false" outlineLevel="0" max="8" min="8" style="0" width="11"/>
    <col collapsed="false" customWidth="true" hidden="false" outlineLevel="0" max="9" min="9" style="0" width="16"/>
    <col collapsed="false" customWidth="true" hidden="false" outlineLevel="0" max="10" min="10" style="0" width="13"/>
    <col collapsed="false" customWidth="true" hidden="false" outlineLevel="0" max="11" min="11" style="0" width="16"/>
    <col collapsed="false" customWidth="true" hidden="false" outlineLevel="0" max="13" min="12" style="0" width="12"/>
    <col collapsed="false" customWidth="true" hidden="false" outlineLevel="0" max="14" min="14" style="0" width="13"/>
    <col collapsed="false" customWidth="true" hidden="false" outlineLevel="0" max="15" min="15" style="0" width="11"/>
    <col collapsed="false" customWidth="true" hidden="false" outlineLevel="0" max="16" min="16" style="0" width="34"/>
  </cols>
  <sheetData>
    <row r="1" customFormat="false" ht="42" hidden="false" customHeight="true" outlineLevel="0" collapsed="false">
      <c r="A1" s="6" t="s">
        <v>48</v>
      </c>
      <c r="B1" s="6" t="s">
        <v>14</v>
      </c>
      <c r="C1" s="4" t="s">
        <v>49</v>
      </c>
      <c r="D1" s="4" t="s">
        <v>50</v>
      </c>
      <c r="E1" s="4" t="s">
        <v>51</v>
      </c>
      <c r="F1" s="4" t="s">
        <v>52</v>
      </c>
      <c r="G1" s="6" t="s">
        <v>53</v>
      </c>
      <c r="H1" s="6" t="s">
        <v>54</v>
      </c>
      <c r="I1" s="4" t="s">
        <v>55</v>
      </c>
      <c r="J1" s="4" t="s">
        <v>17</v>
      </c>
      <c r="K1" s="4" t="s">
        <v>56</v>
      </c>
      <c r="L1" s="4" t="s">
        <v>57</v>
      </c>
      <c r="M1" s="4" t="s">
        <v>58</v>
      </c>
      <c r="N1" s="4" t="s">
        <v>59</v>
      </c>
      <c r="O1" s="6" t="s">
        <v>60</v>
      </c>
      <c r="P1" s="4" t="s">
        <v>61</v>
      </c>
    </row>
    <row r="2" customFormat="false" ht="15" hidden="false" customHeight="false" outlineLevel="0" collapsed="false">
      <c r="A2" s="7" t="n">
        <v>1</v>
      </c>
      <c r="B2" s="7" t="s">
        <v>34</v>
      </c>
      <c r="C2" s="8"/>
      <c r="D2" s="9"/>
      <c r="E2" s="10"/>
      <c r="F2" s="10"/>
      <c r="G2" s="11" t="str">
        <f aca="false">IF(AND(ISNUMBER(E2),E2&gt;0,ISNUMBER(F2)),F2/E2-1,"")</f>
        <v/>
      </c>
      <c r="H2" s="7" t="str">
        <f aca="false">IF(G2="","",IF(G2&gt;=Resultado!$C$5,"Sí","No"))</f>
        <v/>
      </c>
      <c r="I2" s="10"/>
      <c r="J2" s="9"/>
      <c r="K2" s="10"/>
      <c r="L2" s="10"/>
      <c r="M2" s="10"/>
      <c r="N2" s="10" t="s">
        <v>62</v>
      </c>
      <c r="O2" s="7" t="n">
        <f aca="false">COUNTIFS(Cambios!$B$2:$B$201,B2,Cambios!$K$2:$K$201,"Sí")</f>
        <v>0</v>
      </c>
      <c r="P2" s="8"/>
    </row>
    <row r="3" customFormat="false" ht="15" hidden="false" customHeight="false" outlineLevel="0" collapsed="false">
      <c r="A3" s="7" t="n">
        <v>2</v>
      </c>
      <c r="B3" s="7" t="s">
        <v>63</v>
      </c>
      <c r="C3" s="8"/>
      <c r="D3" s="9"/>
      <c r="E3" s="10"/>
      <c r="F3" s="10"/>
      <c r="G3" s="11" t="str">
        <f aca="false">IF(AND(ISNUMBER(E3),E3&gt;0,ISNUMBER(F3)),F3/E3-1,"")</f>
        <v/>
      </c>
      <c r="H3" s="7" t="str">
        <f aca="false">IF(G3="","",IF(G3&gt;=Resultado!$C$5,"Sí","No"))</f>
        <v/>
      </c>
      <c r="I3" s="10"/>
      <c r="J3" s="9"/>
      <c r="K3" s="10"/>
      <c r="L3" s="10"/>
      <c r="M3" s="10"/>
      <c r="N3" s="10" t="s">
        <v>62</v>
      </c>
      <c r="O3" s="7" t="n">
        <f aca="false">COUNTIFS(Cambios!$B$2:$B$201,B3,Cambios!$K$2:$K$201,"Sí")</f>
        <v>0</v>
      </c>
      <c r="P3" s="8"/>
    </row>
    <row r="4" customFormat="false" ht="15" hidden="false" customHeight="false" outlineLevel="0" collapsed="false">
      <c r="A4" s="7" t="n">
        <v>3</v>
      </c>
      <c r="B4" s="7" t="s">
        <v>64</v>
      </c>
      <c r="C4" s="8"/>
      <c r="D4" s="9"/>
      <c r="E4" s="10"/>
      <c r="F4" s="10"/>
      <c r="G4" s="11" t="str">
        <f aca="false">IF(AND(ISNUMBER(E4),E4&gt;0,ISNUMBER(F4)),F4/E4-1,"")</f>
        <v/>
      </c>
      <c r="H4" s="7" t="str">
        <f aca="false">IF(G4="","",IF(G4&gt;=Resultado!$C$5,"Sí","No"))</f>
        <v/>
      </c>
      <c r="I4" s="10"/>
      <c r="J4" s="9"/>
      <c r="K4" s="10"/>
      <c r="L4" s="10"/>
      <c r="M4" s="10"/>
      <c r="N4" s="10" t="s">
        <v>62</v>
      </c>
      <c r="O4" s="7" t="n">
        <f aca="false">COUNTIFS(Cambios!$B$2:$B$201,B4,Cambios!$K$2:$K$201,"Sí")</f>
        <v>0</v>
      </c>
      <c r="P4" s="8"/>
    </row>
    <row r="5" customFormat="false" ht="15" hidden="false" customHeight="false" outlineLevel="0" collapsed="false">
      <c r="A5" s="7" t="n">
        <v>4</v>
      </c>
      <c r="B5" s="7" t="s">
        <v>65</v>
      </c>
      <c r="C5" s="8"/>
      <c r="D5" s="9"/>
      <c r="E5" s="10"/>
      <c r="F5" s="10"/>
      <c r="G5" s="11" t="str">
        <f aca="false">IF(AND(ISNUMBER(E5),E5&gt;0,ISNUMBER(F5)),F5/E5-1,"")</f>
        <v/>
      </c>
      <c r="H5" s="7" t="str">
        <f aca="false">IF(G5="","",IF(G5&gt;=Resultado!$C$5,"Sí","No"))</f>
        <v/>
      </c>
      <c r="I5" s="10"/>
      <c r="J5" s="9"/>
      <c r="K5" s="10"/>
      <c r="L5" s="10"/>
      <c r="M5" s="10"/>
      <c r="N5" s="10" t="s">
        <v>62</v>
      </c>
      <c r="O5" s="7" t="n">
        <f aca="false">COUNTIFS(Cambios!$B$2:$B$201,B5,Cambios!$K$2:$K$201,"Sí")</f>
        <v>0</v>
      </c>
      <c r="P5" s="8"/>
    </row>
    <row r="6" customFormat="false" ht="15" hidden="false" customHeight="false" outlineLevel="0" collapsed="false">
      <c r="A6" s="7" t="n">
        <v>5</v>
      </c>
      <c r="B6" s="7" t="s">
        <v>66</v>
      </c>
      <c r="C6" s="8"/>
      <c r="D6" s="9"/>
      <c r="E6" s="10"/>
      <c r="F6" s="10"/>
      <c r="G6" s="11" t="str">
        <f aca="false">IF(AND(ISNUMBER(E6),E6&gt;0,ISNUMBER(F6)),F6/E6-1,"")</f>
        <v/>
      </c>
      <c r="H6" s="7" t="str">
        <f aca="false">IF(G6="","",IF(G6&gt;=Resultado!$C$5,"Sí","No"))</f>
        <v/>
      </c>
      <c r="I6" s="10"/>
      <c r="J6" s="9"/>
      <c r="K6" s="10"/>
      <c r="L6" s="10"/>
      <c r="M6" s="10"/>
      <c r="N6" s="10" t="s">
        <v>62</v>
      </c>
      <c r="O6" s="7" t="n">
        <f aca="false">COUNTIFS(Cambios!$B$2:$B$201,B6,Cambios!$K$2:$K$201,"Sí")</f>
        <v>0</v>
      </c>
      <c r="P6" s="8"/>
    </row>
    <row r="7" customFormat="false" ht="15" hidden="false" customHeight="false" outlineLevel="0" collapsed="false">
      <c r="A7" s="7" t="n">
        <v>6</v>
      </c>
      <c r="B7" s="7" t="s">
        <v>67</v>
      </c>
      <c r="C7" s="8"/>
      <c r="D7" s="9"/>
      <c r="E7" s="10"/>
      <c r="F7" s="10"/>
      <c r="G7" s="11" t="str">
        <f aca="false">IF(AND(ISNUMBER(E7),E7&gt;0,ISNUMBER(F7)),F7/E7-1,"")</f>
        <v/>
      </c>
      <c r="H7" s="7" t="str">
        <f aca="false">IF(G7="","",IF(G7&gt;=Resultado!$C$5,"Sí","No"))</f>
        <v/>
      </c>
      <c r="I7" s="10"/>
      <c r="J7" s="9"/>
      <c r="K7" s="10"/>
      <c r="L7" s="10"/>
      <c r="M7" s="10"/>
      <c r="N7" s="10" t="s">
        <v>62</v>
      </c>
      <c r="O7" s="7" t="n">
        <f aca="false">COUNTIFS(Cambios!$B$2:$B$201,B7,Cambios!$K$2:$K$201,"Sí")</f>
        <v>0</v>
      </c>
      <c r="P7" s="8"/>
    </row>
    <row r="8" customFormat="false" ht="15" hidden="false" customHeight="false" outlineLevel="0" collapsed="false">
      <c r="A8" s="7" t="n">
        <v>7</v>
      </c>
      <c r="B8" s="7" t="s">
        <v>68</v>
      </c>
      <c r="C8" s="8"/>
      <c r="D8" s="9"/>
      <c r="E8" s="10"/>
      <c r="F8" s="10"/>
      <c r="G8" s="11" t="str">
        <f aca="false">IF(AND(ISNUMBER(E8),E8&gt;0,ISNUMBER(F8)),F8/E8-1,"")</f>
        <v/>
      </c>
      <c r="H8" s="7" t="str">
        <f aca="false">IF(G8="","",IF(G8&gt;=Resultado!$C$5,"Sí","No"))</f>
        <v/>
      </c>
      <c r="I8" s="10"/>
      <c r="J8" s="9"/>
      <c r="K8" s="10"/>
      <c r="L8" s="10"/>
      <c r="M8" s="10"/>
      <c r="N8" s="10" t="s">
        <v>62</v>
      </c>
      <c r="O8" s="7" t="n">
        <f aca="false">COUNTIFS(Cambios!$B$2:$B$201,B8,Cambios!$K$2:$K$201,"Sí")</f>
        <v>0</v>
      </c>
      <c r="P8" s="8"/>
    </row>
    <row r="9" customFormat="false" ht="15" hidden="false" customHeight="false" outlineLevel="0" collapsed="false">
      <c r="A9" s="7" t="n">
        <v>8</v>
      </c>
      <c r="B9" s="7" t="s">
        <v>69</v>
      </c>
      <c r="C9" s="8"/>
      <c r="D9" s="9"/>
      <c r="E9" s="10"/>
      <c r="F9" s="10"/>
      <c r="G9" s="11" t="str">
        <f aca="false">IF(AND(ISNUMBER(E9),E9&gt;0,ISNUMBER(F9)),F9/E9-1,"")</f>
        <v/>
      </c>
      <c r="H9" s="7" t="str">
        <f aca="false">IF(G9="","",IF(G9&gt;=Resultado!$C$5,"Sí","No"))</f>
        <v/>
      </c>
      <c r="I9" s="10"/>
      <c r="J9" s="9"/>
      <c r="K9" s="10"/>
      <c r="L9" s="10"/>
      <c r="M9" s="10"/>
      <c r="N9" s="10" t="s">
        <v>62</v>
      </c>
      <c r="O9" s="7" t="n">
        <f aca="false">COUNTIFS(Cambios!$B$2:$B$201,B9,Cambios!$K$2:$K$201,"Sí")</f>
        <v>0</v>
      </c>
      <c r="P9" s="8"/>
    </row>
    <row r="10" customFormat="false" ht="15" hidden="false" customHeight="false" outlineLevel="0" collapsed="false">
      <c r="A10" s="7" t="n">
        <v>9</v>
      </c>
      <c r="B10" s="7" t="s">
        <v>70</v>
      </c>
      <c r="C10" s="8"/>
      <c r="D10" s="9"/>
      <c r="E10" s="10"/>
      <c r="F10" s="10"/>
      <c r="G10" s="11" t="str">
        <f aca="false">IF(AND(ISNUMBER(E10),E10&gt;0,ISNUMBER(F10)),F10/E10-1,"")</f>
        <v/>
      </c>
      <c r="H10" s="7" t="str">
        <f aca="false">IF(G10="","",IF(G10&gt;=Resultado!$C$5,"Sí","No"))</f>
        <v/>
      </c>
      <c r="I10" s="10"/>
      <c r="J10" s="9"/>
      <c r="K10" s="10"/>
      <c r="L10" s="10"/>
      <c r="M10" s="10"/>
      <c r="N10" s="10" t="s">
        <v>62</v>
      </c>
      <c r="O10" s="7" t="n">
        <f aca="false">COUNTIFS(Cambios!$B$2:$B$201,B10,Cambios!$K$2:$K$201,"Sí")</f>
        <v>0</v>
      </c>
      <c r="P10" s="8"/>
    </row>
    <row r="11" customFormat="false" ht="15" hidden="false" customHeight="false" outlineLevel="0" collapsed="false">
      <c r="A11" s="7" t="n">
        <v>10</v>
      </c>
      <c r="B11" s="7" t="s">
        <v>71</v>
      </c>
      <c r="C11" s="8"/>
      <c r="D11" s="9"/>
      <c r="E11" s="10"/>
      <c r="F11" s="10"/>
      <c r="G11" s="11" t="str">
        <f aca="false">IF(AND(ISNUMBER(E11),E11&gt;0,ISNUMBER(F11)),F11/E11-1,"")</f>
        <v/>
      </c>
      <c r="H11" s="7" t="str">
        <f aca="false">IF(G11="","",IF(G11&gt;=Resultado!$C$5,"Sí","No"))</f>
        <v/>
      </c>
      <c r="I11" s="10"/>
      <c r="J11" s="9"/>
      <c r="K11" s="10"/>
      <c r="L11" s="10"/>
      <c r="M11" s="10"/>
      <c r="N11" s="10" t="s">
        <v>62</v>
      </c>
      <c r="O11" s="7" t="n">
        <f aca="false">COUNTIFS(Cambios!$B$2:$B$201,B11,Cambios!$K$2:$K$201,"Sí")</f>
        <v>0</v>
      </c>
      <c r="P11" s="8"/>
    </row>
    <row r="13" customFormat="false" ht="15" hidden="false" customHeight="false" outlineLevel="0" collapsed="false">
      <c r="C13" s="12" t="s">
        <v>72</v>
      </c>
    </row>
    <row r="14" customFormat="false" ht="15" hidden="false" customHeight="false" outlineLevel="0" collapsed="false">
      <c r="C14" s="12" t="s">
        <v>73</v>
      </c>
    </row>
    <row r="15" customFormat="false" ht="15" hidden="false" customHeight="false" outlineLevel="0" collapsed="false">
      <c r="C15" s="12" t="s">
        <v>74</v>
      </c>
    </row>
  </sheetData>
  <dataValidations count="3">
    <dataValidation allowBlank="true" errorStyle="stop" operator="between" showDropDown="false" showErrorMessage="false" showInputMessage="false" sqref="I2:I11 K2:K11" type="list">
      <formula1>"Jira,Diseñador y PO"</formula1>
      <formula2>0</formula2>
    </dataValidation>
    <dataValidation allowBlank="true" errorStyle="stop" operator="between" showDropDown="false" showErrorMessage="false" showInputMessage="false" sqref="L2:M11" type="list">
      <formula1>"Sí,No"</formula1>
      <formula2>0</formula2>
    </dataValidation>
    <dataValidation allowBlank="true" errorStyle="stop" operator="between" showDropDown="false" showErrorMessage="false" showInputMessage="false" sqref="N2:N11" type="list">
      <formula1>"real,stand-in"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T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36"/>
    <col collapsed="false" customWidth="true" hidden="false" outlineLevel="0" max="5" min="4" style="0" width="12"/>
    <col collapsed="false" customWidth="true" hidden="false" outlineLevel="0" max="6" min="6" style="0" width="11"/>
    <col collapsed="false" customWidth="true" hidden="false" outlineLevel="0" max="7" min="7" style="0" width="18"/>
    <col collapsed="false" customWidth="true" hidden="false" outlineLevel="0" max="8" min="8" style="0" width="20"/>
    <col collapsed="false" customWidth="true" hidden="false" outlineLevel="0" max="9" min="9" style="0" width="11"/>
    <col collapsed="false" customWidth="true" hidden="false" outlineLevel="0" max="10" min="10" style="0" width="26"/>
    <col collapsed="false" customWidth="true" hidden="false" outlineLevel="0" max="11" min="11" style="0" width="11"/>
    <col collapsed="false" customWidth="true" hidden="false" outlineLevel="0" max="12" min="12" style="0" width="20"/>
    <col collapsed="false" customWidth="true" hidden="false" outlineLevel="0" max="13" min="13" style="0" width="12"/>
    <col collapsed="false" customWidth="true" hidden="false" outlineLevel="0" max="14" min="14" style="0" width="30"/>
    <col collapsed="false" customWidth="true" hidden="false" outlineLevel="0" max="16" min="15" style="0" width="14"/>
    <col collapsed="false" customWidth="true" hidden="false" outlineLevel="0" max="17" min="17" style="0" width="10"/>
    <col collapsed="false" customWidth="true" hidden="false" outlineLevel="0" max="18" min="18" style="0" width="14"/>
    <col collapsed="false" customWidth="true" hidden="false" outlineLevel="0" max="19" min="19" style="0" width="28"/>
    <col collapsed="false" customWidth="true" hidden="false" outlineLevel="0" max="20" min="20" style="0" width="30"/>
  </cols>
  <sheetData>
    <row r="1" customFormat="false" ht="42" hidden="false" customHeight="true" outlineLevel="0" collapsed="false">
      <c r="A1" s="6" t="s">
        <v>13</v>
      </c>
      <c r="B1" s="4" t="s">
        <v>14</v>
      </c>
      <c r="C1" s="4" t="s">
        <v>15</v>
      </c>
      <c r="D1" s="4" t="s">
        <v>16</v>
      </c>
      <c r="E1" s="6" t="s">
        <v>17</v>
      </c>
      <c r="F1" s="6" t="s">
        <v>18</v>
      </c>
      <c r="G1" s="4" t="s">
        <v>19</v>
      </c>
      <c r="H1" s="4" t="s">
        <v>20</v>
      </c>
      <c r="I1" s="4" t="s">
        <v>21</v>
      </c>
      <c r="J1" s="4" t="s">
        <v>22</v>
      </c>
      <c r="K1" s="6" t="s">
        <v>23</v>
      </c>
      <c r="L1" s="4" t="s">
        <v>75</v>
      </c>
      <c r="M1" s="4" t="s">
        <v>76</v>
      </c>
      <c r="N1" s="4" t="s">
        <v>26</v>
      </c>
      <c r="O1" s="4" t="s">
        <v>27</v>
      </c>
      <c r="P1" s="4" t="s">
        <v>28</v>
      </c>
      <c r="Q1" s="6" t="s">
        <v>29</v>
      </c>
      <c r="R1" s="4" t="s">
        <v>30</v>
      </c>
      <c r="S1" s="4" t="s">
        <v>31</v>
      </c>
      <c r="T1" s="4" t="s">
        <v>77</v>
      </c>
    </row>
    <row r="2" customFormat="false" ht="15" hidden="false" customHeight="false" outlineLevel="0" collapsed="false">
      <c r="A2" s="7" t="s">
        <v>78</v>
      </c>
      <c r="B2" s="10"/>
      <c r="C2" s="8"/>
      <c r="D2" s="9"/>
      <c r="E2" s="13" t="str">
        <f aca="false">IF(B2="","",IFERROR(INDEX(Iniciativas!$J$2:$J$11,MATCH(B2,Iniciativas!$B$2:$B$11,0)),""))</f>
        <v/>
      </c>
      <c r="F2" s="7" t="str">
        <f aca="false">IF(OR(NOT(ISNUMBER(D2)),NOT(ISNUMBER(E2))),"",IF(D2&gt;E2,"Sí","No"))</f>
        <v/>
      </c>
      <c r="G2" s="10"/>
      <c r="H2" s="10"/>
      <c r="I2" s="10"/>
      <c r="J2" s="8"/>
      <c r="K2" s="7" t="str">
        <f aca="false">IF(OR(F2="",I2=""),"",IF(AND(F2="Sí",I2="Sí"),"Sí","No"))</f>
        <v/>
      </c>
      <c r="L2" s="10"/>
      <c r="M2" s="10"/>
      <c r="N2" s="8"/>
      <c r="O2" s="10"/>
      <c r="P2" s="10"/>
      <c r="Q2" s="7" t="str">
        <f aca="false">IF(OR(O2="",P2=""),"",IF(O2=P2,"Sí","No"))</f>
        <v/>
      </c>
      <c r="R2" s="10"/>
      <c r="S2" s="8"/>
      <c r="T2" s="8"/>
    </row>
    <row r="3" customFormat="false" ht="15" hidden="false" customHeight="false" outlineLevel="0" collapsed="false">
      <c r="A3" s="7" t="s">
        <v>79</v>
      </c>
      <c r="B3" s="10"/>
      <c r="C3" s="8"/>
      <c r="D3" s="9"/>
      <c r="E3" s="13" t="str">
        <f aca="false">IF(B3="","",IFERROR(INDEX(Iniciativas!$J$2:$J$11,MATCH(B3,Iniciativas!$B$2:$B$11,0)),""))</f>
        <v/>
      </c>
      <c r="F3" s="7" t="str">
        <f aca="false">IF(OR(NOT(ISNUMBER(D3)),NOT(ISNUMBER(E3))),"",IF(D3&gt;E3,"Sí","No"))</f>
        <v/>
      </c>
      <c r="G3" s="10"/>
      <c r="H3" s="10"/>
      <c r="I3" s="10"/>
      <c r="J3" s="8"/>
      <c r="K3" s="7" t="str">
        <f aca="false">IF(OR(F3="",I3=""),"",IF(AND(F3="Sí",I3="Sí"),"Sí","No"))</f>
        <v/>
      </c>
      <c r="L3" s="10"/>
      <c r="M3" s="10"/>
      <c r="N3" s="8"/>
      <c r="O3" s="10"/>
      <c r="P3" s="10"/>
      <c r="Q3" s="7" t="str">
        <f aca="false">IF(OR(O3="",P3=""),"",IF(O3=P3,"Sí","No"))</f>
        <v/>
      </c>
      <c r="R3" s="10"/>
      <c r="S3" s="8"/>
      <c r="T3" s="8"/>
    </row>
    <row r="4" customFormat="false" ht="15" hidden="false" customHeight="false" outlineLevel="0" collapsed="false">
      <c r="A4" s="7" t="s">
        <v>80</v>
      </c>
      <c r="B4" s="10"/>
      <c r="C4" s="8"/>
      <c r="D4" s="9"/>
      <c r="E4" s="13" t="str">
        <f aca="false">IF(B4="","",IFERROR(INDEX(Iniciativas!$J$2:$J$11,MATCH(B4,Iniciativas!$B$2:$B$11,0)),""))</f>
        <v/>
      </c>
      <c r="F4" s="7" t="str">
        <f aca="false">IF(OR(NOT(ISNUMBER(D4)),NOT(ISNUMBER(E4))),"",IF(D4&gt;E4,"Sí","No"))</f>
        <v/>
      </c>
      <c r="G4" s="10"/>
      <c r="H4" s="10"/>
      <c r="I4" s="10"/>
      <c r="J4" s="8"/>
      <c r="K4" s="7" t="str">
        <f aca="false">IF(OR(F4="",I4=""),"",IF(AND(F4="Sí",I4="Sí"),"Sí","No"))</f>
        <v/>
      </c>
      <c r="L4" s="10"/>
      <c r="M4" s="10"/>
      <c r="N4" s="8"/>
      <c r="O4" s="10"/>
      <c r="P4" s="10"/>
      <c r="Q4" s="7" t="str">
        <f aca="false">IF(OR(O4="",P4=""),"",IF(O4=P4,"Sí","No"))</f>
        <v/>
      </c>
      <c r="R4" s="10"/>
      <c r="S4" s="8"/>
      <c r="T4" s="8"/>
    </row>
    <row r="5" customFormat="false" ht="15" hidden="false" customHeight="false" outlineLevel="0" collapsed="false">
      <c r="A5" s="7" t="s">
        <v>81</v>
      </c>
      <c r="B5" s="10"/>
      <c r="C5" s="8"/>
      <c r="D5" s="9"/>
      <c r="E5" s="13" t="str">
        <f aca="false">IF(B5="","",IFERROR(INDEX(Iniciativas!$J$2:$J$11,MATCH(B5,Iniciativas!$B$2:$B$11,0)),""))</f>
        <v/>
      </c>
      <c r="F5" s="7" t="str">
        <f aca="false">IF(OR(NOT(ISNUMBER(D5)),NOT(ISNUMBER(E5))),"",IF(D5&gt;E5,"Sí","No"))</f>
        <v/>
      </c>
      <c r="G5" s="10"/>
      <c r="H5" s="10"/>
      <c r="I5" s="10"/>
      <c r="J5" s="8"/>
      <c r="K5" s="7" t="str">
        <f aca="false">IF(OR(F5="",I5=""),"",IF(AND(F5="Sí",I5="Sí"),"Sí","No"))</f>
        <v/>
      </c>
      <c r="L5" s="10"/>
      <c r="M5" s="10"/>
      <c r="N5" s="8"/>
      <c r="O5" s="10"/>
      <c r="P5" s="10"/>
      <c r="Q5" s="7" t="str">
        <f aca="false">IF(OR(O5="",P5=""),"",IF(O5=P5,"Sí","No"))</f>
        <v/>
      </c>
      <c r="R5" s="10"/>
      <c r="S5" s="8"/>
      <c r="T5" s="8"/>
    </row>
    <row r="6" customFormat="false" ht="15" hidden="false" customHeight="false" outlineLevel="0" collapsed="false">
      <c r="A6" s="7" t="s">
        <v>82</v>
      </c>
      <c r="B6" s="10"/>
      <c r="C6" s="8"/>
      <c r="D6" s="9"/>
      <c r="E6" s="13" t="str">
        <f aca="false">IF(B6="","",IFERROR(INDEX(Iniciativas!$J$2:$J$11,MATCH(B6,Iniciativas!$B$2:$B$11,0)),""))</f>
        <v/>
      </c>
      <c r="F6" s="7" t="str">
        <f aca="false">IF(OR(NOT(ISNUMBER(D6)),NOT(ISNUMBER(E6))),"",IF(D6&gt;E6,"Sí","No"))</f>
        <v/>
      </c>
      <c r="G6" s="10"/>
      <c r="H6" s="10"/>
      <c r="I6" s="10"/>
      <c r="J6" s="8"/>
      <c r="K6" s="7" t="str">
        <f aca="false">IF(OR(F6="",I6=""),"",IF(AND(F6="Sí",I6="Sí"),"Sí","No"))</f>
        <v/>
      </c>
      <c r="L6" s="10"/>
      <c r="M6" s="10"/>
      <c r="N6" s="8"/>
      <c r="O6" s="10"/>
      <c r="P6" s="10"/>
      <c r="Q6" s="7" t="str">
        <f aca="false">IF(OR(O6="",P6=""),"",IF(O6=P6,"Sí","No"))</f>
        <v/>
      </c>
      <c r="R6" s="10"/>
      <c r="S6" s="8"/>
      <c r="T6" s="8"/>
    </row>
    <row r="7" customFormat="false" ht="15" hidden="false" customHeight="false" outlineLevel="0" collapsed="false">
      <c r="A7" s="7" t="s">
        <v>83</v>
      </c>
      <c r="B7" s="10"/>
      <c r="C7" s="8"/>
      <c r="D7" s="9"/>
      <c r="E7" s="13" t="str">
        <f aca="false">IF(B7="","",IFERROR(INDEX(Iniciativas!$J$2:$J$11,MATCH(B7,Iniciativas!$B$2:$B$11,0)),""))</f>
        <v/>
      </c>
      <c r="F7" s="7" t="str">
        <f aca="false">IF(OR(NOT(ISNUMBER(D7)),NOT(ISNUMBER(E7))),"",IF(D7&gt;E7,"Sí","No"))</f>
        <v/>
      </c>
      <c r="G7" s="10"/>
      <c r="H7" s="10"/>
      <c r="I7" s="10"/>
      <c r="J7" s="8"/>
      <c r="K7" s="7" t="str">
        <f aca="false">IF(OR(F7="",I7=""),"",IF(AND(F7="Sí",I7="Sí"),"Sí","No"))</f>
        <v/>
      </c>
      <c r="L7" s="10"/>
      <c r="M7" s="10"/>
      <c r="N7" s="8"/>
      <c r="O7" s="10"/>
      <c r="P7" s="10"/>
      <c r="Q7" s="7" t="str">
        <f aca="false">IF(OR(O7="",P7=""),"",IF(O7=P7,"Sí","No"))</f>
        <v/>
      </c>
      <c r="R7" s="10"/>
      <c r="S7" s="8"/>
      <c r="T7" s="8"/>
    </row>
    <row r="8" customFormat="false" ht="15" hidden="false" customHeight="false" outlineLevel="0" collapsed="false">
      <c r="A8" s="7" t="s">
        <v>84</v>
      </c>
      <c r="B8" s="10"/>
      <c r="C8" s="8"/>
      <c r="D8" s="9"/>
      <c r="E8" s="13" t="str">
        <f aca="false">IF(B8="","",IFERROR(INDEX(Iniciativas!$J$2:$J$11,MATCH(B8,Iniciativas!$B$2:$B$11,0)),""))</f>
        <v/>
      </c>
      <c r="F8" s="7" t="str">
        <f aca="false">IF(OR(NOT(ISNUMBER(D8)),NOT(ISNUMBER(E8))),"",IF(D8&gt;E8,"Sí","No"))</f>
        <v/>
      </c>
      <c r="G8" s="10"/>
      <c r="H8" s="10"/>
      <c r="I8" s="10"/>
      <c r="J8" s="8"/>
      <c r="K8" s="7" t="str">
        <f aca="false">IF(OR(F8="",I8=""),"",IF(AND(F8="Sí",I8="Sí"),"Sí","No"))</f>
        <v/>
      </c>
      <c r="L8" s="10"/>
      <c r="M8" s="10"/>
      <c r="N8" s="8"/>
      <c r="O8" s="10"/>
      <c r="P8" s="10"/>
      <c r="Q8" s="7" t="str">
        <f aca="false">IF(OR(O8="",P8=""),"",IF(O8=P8,"Sí","No"))</f>
        <v/>
      </c>
      <c r="R8" s="10"/>
      <c r="S8" s="8"/>
      <c r="T8" s="8"/>
    </row>
    <row r="9" customFormat="false" ht="15" hidden="false" customHeight="false" outlineLevel="0" collapsed="false">
      <c r="A9" s="7" t="s">
        <v>85</v>
      </c>
      <c r="B9" s="10"/>
      <c r="C9" s="8"/>
      <c r="D9" s="9"/>
      <c r="E9" s="13" t="str">
        <f aca="false">IF(B9="","",IFERROR(INDEX(Iniciativas!$J$2:$J$11,MATCH(B9,Iniciativas!$B$2:$B$11,0)),""))</f>
        <v/>
      </c>
      <c r="F9" s="7" t="str">
        <f aca="false">IF(OR(NOT(ISNUMBER(D9)),NOT(ISNUMBER(E9))),"",IF(D9&gt;E9,"Sí","No"))</f>
        <v/>
      </c>
      <c r="G9" s="10"/>
      <c r="H9" s="10"/>
      <c r="I9" s="10"/>
      <c r="J9" s="8"/>
      <c r="K9" s="7" t="str">
        <f aca="false">IF(OR(F9="",I9=""),"",IF(AND(F9="Sí",I9="Sí"),"Sí","No"))</f>
        <v/>
      </c>
      <c r="L9" s="10"/>
      <c r="M9" s="10"/>
      <c r="N9" s="8"/>
      <c r="O9" s="10"/>
      <c r="P9" s="10"/>
      <c r="Q9" s="7" t="str">
        <f aca="false">IF(OR(O9="",P9=""),"",IF(O9=P9,"Sí","No"))</f>
        <v/>
      </c>
      <c r="R9" s="10"/>
      <c r="S9" s="8"/>
      <c r="T9" s="8"/>
    </row>
    <row r="10" customFormat="false" ht="15" hidden="false" customHeight="false" outlineLevel="0" collapsed="false">
      <c r="A10" s="7" t="s">
        <v>86</v>
      </c>
      <c r="B10" s="10"/>
      <c r="C10" s="8"/>
      <c r="D10" s="9"/>
      <c r="E10" s="13" t="str">
        <f aca="false">IF(B10="","",IFERROR(INDEX(Iniciativas!$J$2:$J$11,MATCH(B10,Iniciativas!$B$2:$B$11,0)),""))</f>
        <v/>
      </c>
      <c r="F10" s="7" t="str">
        <f aca="false">IF(OR(NOT(ISNUMBER(D10)),NOT(ISNUMBER(E10))),"",IF(D10&gt;E10,"Sí","No"))</f>
        <v/>
      </c>
      <c r="G10" s="10"/>
      <c r="H10" s="10"/>
      <c r="I10" s="10"/>
      <c r="J10" s="8"/>
      <c r="K10" s="7" t="str">
        <f aca="false">IF(OR(F10="",I10=""),"",IF(AND(F10="Sí",I10="Sí"),"Sí","No"))</f>
        <v/>
      </c>
      <c r="L10" s="10"/>
      <c r="M10" s="10"/>
      <c r="N10" s="8"/>
      <c r="O10" s="10"/>
      <c r="P10" s="10"/>
      <c r="Q10" s="7" t="str">
        <f aca="false">IF(OR(O10="",P10=""),"",IF(O10=P10,"Sí","No"))</f>
        <v/>
      </c>
      <c r="R10" s="10"/>
      <c r="S10" s="8"/>
      <c r="T10" s="8"/>
    </row>
    <row r="11" customFormat="false" ht="15" hidden="false" customHeight="false" outlineLevel="0" collapsed="false">
      <c r="A11" s="7" t="s">
        <v>87</v>
      </c>
      <c r="B11" s="10"/>
      <c r="C11" s="8"/>
      <c r="D11" s="9"/>
      <c r="E11" s="13" t="str">
        <f aca="false">IF(B11="","",IFERROR(INDEX(Iniciativas!$J$2:$J$11,MATCH(B11,Iniciativas!$B$2:$B$11,0)),""))</f>
        <v/>
      </c>
      <c r="F11" s="7" t="str">
        <f aca="false">IF(OR(NOT(ISNUMBER(D11)),NOT(ISNUMBER(E11))),"",IF(D11&gt;E11,"Sí","No"))</f>
        <v/>
      </c>
      <c r="G11" s="10"/>
      <c r="H11" s="10"/>
      <c r="I11" s="10"/>
      <c r="J11" s="8"/>
      <c r="K11" s="7" t="str">
        <f aca="false">IF(OR(F11="",I11=""),"",IF(AND(F11="Sí",I11="Sí"),"Sí","No"))</f>
        <v/>
      </c>
      <c r="L11" s="10"/>
      <c r="M11" s="10"/>
      <c r="N11" s="8"/>
      <c r="O11" s="10"/>
      <c r="P11" s="10"/>
      <c r="Q11" s="7" t="str">
        <f aca="false">IF(OR(O11="",P11=""),"",IF(O11=P11,"Sí","No"))</f>
        <v/>
      </c>
      <c r="R11" s="10"/>
      <c r="S11" s="8"/>
      <c r="T11" s="8"/>
    </row>
    <row r="12" customFormat="false" ht="15" hidden="false" customHeight="false" outlineLevel="0" collapsed="false">
      <c r="A12" s="7" t="s">
        <v>88</v>
      </c>
      <c r="B12" s="10"/>
      <c r="C12" s="8"/>
      <c r="D12" s="9"/>
      <c r="E12" s="13" t="str">
        <f aca="false">IF(B12="","",IFERROR(INDEX(Iniciativas!$J$2:$J$11,MATCH(B12,Iniciativas!$B$2:$B$11,0)),""))</f>
        <v/>
      </c>
      <c r="F12" s="7" t="str">
        <f aca="false">IF(OR(NOT(ISNUMBER(D12)),NOT(ISNUMBER(E12))),"",IF(D12&gt;E12,"Sí","No"))</f>
        <v/>
      </c>
      <c r="G12" s="10"/>
      <c r="H12" s="10"/>
      <c r="I12" s="10"/>
      <c r="J12" s="8"/>
      <c r="K12" s="7" t="str">
        <f aca="false">IF(OR(F12="",I12=""),"",IF(AND(F12="Sí",I12="Sí"),"Sí","No"))</f>
        <v/>
      </c>
      <c r="L12" s="10"/>
      <c r="M12" s="10"/>
      <c r="N12" s="8"/>
      <c r="O12" s="10"/>
      <c r="P12" s="10"/>
      <c r="Q12" s="7" t="str">
        <f aca="false">IF(OR(O12="",P12=""),"",IF(O12=P12,"Sí","No"))</f>
        <v/>
      </c>
      <c r="R12" s="10"/>
      <c r="S12" s="8"/>
      <c r="T12" s="8"/>
    </row>
    <row r="13" customFormat="false" ht="15" hidden="false" customHeight="false" outlineLevel="0" collapsed="false">
      <c r="A13" s="7" t="s">
        <v>89</v>
      </c>
      <c r="B13" s="10"/>
      <c r="C13" s="8"/>
      <c r="D13" s="9"/>
      <c r="E13" s="13" t="str">
        <f aca="false">IF(B13="","",IFERROR(INDEX(Iniciativas!$J$2:$J$11,MATCH(B13,Iniciativas!$B$2:$B$11,0)),""))</f>
        <v/>
      </c>
      <c r="F13" s="7" t="str">
        <f aca="false">IF(OR(NOT(ISNUMBER(D13)),NOT(ISNUMBER(E13))),"",IF(D13&gt;E13,"Sí","No"))</f>
        <v/>
      </c>
      <c r="G13" s="10"/>
      <c r="H13" s="10"/>
      <c r="I13" s="10"/>
      <c r="J13" s="8"/>
      <c r="K13" s="7" t="str">
        <f aca="false">IF(OR(F13="",I13=""),"",IF(AND(F13="Sí",I13="Sí"),"Sí","No"))</f>
        <v/>
      </c>
      <c r="L13" s="10"/>
      <c r="M13" s="10"/>
      <c r="N13" s="8"/>
      <c r="O13" s="10"/>
      <c r="P13" s="10"/>
      <c r="Q13" s="7" t="str">
        <f aca="false">IF(OR(O13="",P13=""),"",IF(O13=P13,"Sí","No"))</f>
        <v/>
      </c>
      <c r="R13" s="10"/>
      <c r="S13" s="8"/>
      <c r="T13" s="8"/>
    </row>
    <row r="14" customFormat="false" ht="15" hidden="false" customHeight="false" outlineLevel="0" collapsed="false">
      <c r="A14" s="7" t="s">
        <v>90</v>
      </c>
      <c r="B14" s="10"/>
      <c r="C14" s="8"/>
      <c r="D14" s="9"/>
      <c r="E14" s="13" t="str">
        <f aca="false">IF(B14="","",IFERROR(INDEX(Iniciativas!$J$2:$J$11,MATCH(B14,Iniciativas!$B$2:$B$11,0)),""))</f>
        <v/>
      </c>
      <c r="F14" s="7" t="str">
        <f aca="false">IF(OR(NOT(ISNUMBER(D14)),NOT(ISNUMBER(E14))),"",IF(D14&gt;E14,"Sí","No"))</f>
        <v/>
      </c>
      <c r="G14" s="10"/>
      <c r="H14" s="10"/>
      <c r="I14" s="10"/>
      <c r="J14" s="8"/>
      <c r="K14" s="7" t="str">
        <f aca="false">IF(OR(F14="",I14=""),"",IF(AND(F14="Sí",I14="Sí"),"Sí","No"))</f>
        <v/>
      </c>
      <c r="L14" s="10"/>
      <c r="M14" s="10"/>
      <c r="N14" s="8"/>
      <c r="O14" s="10"/>
      <c r="P14" s="10"/>
      <c r="Q14" s="7" t="str">
        <f aca="false">IF(OR(O14="",P14=""),"",IF(O14=P14,"Sí","No"))</f>
        <v/>
      </c>
      <c r="R14" s="10"/>
      <c r="S14" s="8"/>
      <c r="T14" s="8"/>
    </row>
    <row r="15" customFormat="false" ht="15" hidden="false" customHeight="false" outlineLevel="0" collapsed="false">
      <c r="A15" s="7" t="s">
        <v>91</v>
      </c>
      <c r="B15" s="10"/>
      <c r="C15" s="8"/>
      <c r="D15" s="9"/>
      <c r="E15" s="13" t="str">
        <f aca="false">IF(B15="","",IFERROR(INDEX(Iniciativas!$J$2:$J$11,MATCH(B15,Iniciativas!$B$2:$B$11,0)),""))</f>
        <v/>
      </c>
      <c r="F15" s="7" t="str">
        <f aca="false">IF(OR(NOT(ISNUMBER(D15)),NOT(ISNUMBER(E15))),"",IF(D15&gt;E15,"Sí","No"))</f>
        <v/>
      </c>
      <c r="G15" s="10"/>
      <c r="H15" s="10"/>
      <c r="I15" s="10"/>
      <c r="J15" s="8"/>
      <c r="K15" s="7" t="str">
        <f aca="false">IF(OR(F15="",I15=""),"",IF(AND(F15="Sí",I15="Sí"),"Sí","No"))</f>
        <v/>
      </c>
      <c r="L15" s="10"/>
      <c r="M15" s="10"/>
      <c r="N15" s="8"/>
      <c r="O15" s="10"/>
      <c r="P15" s="10"/>
      <c r="Q15" s="7" t="str">
        <f aca="false">IF(OR(O15="",P15=""),"",IF(O15=P15,"Sí","No"))</f>
        <v/>
      </c>
      <c r="R15" s="10"/>
      <c r="S15" s="8"/>
      <c r="T15" s="8"/>
    </row>
    <row r="16" customFormat="false" ht="15" hidden="false" customHeight="false" outlineLevel="0" collapsed="false">
      <c r="A16" s="7" t="s">
        <v>92</v>
      </c>
      <c r="B16" s="10"/>
      <c r="C16" s="8"/>
      <c r="D16" s="9"/>
      <c r="E16" s="13" t="str">
        <f aca="false">IF(B16="","",IFERROR(INDEX(Iniciativas!$J$2:$J$11,MATCH(B16,Iniciativas!$B$2:$B$11,0)),""))</f>
        <v/>
      </c>
      <c r="F16" s="7" t="str">
        <f aca="false">IF(OR(NOT(ISNUMBER(D16)),NOT(ISNUMBER(E16))),"",IF(D16&gt;E16,"Sí","No"))</f>
        <v/>
      </c>
      <c r="G16" s="10"/>
      <c r="H16" s="10"/>
      <c r="I16" s="10"/>
      <c r="J16" s="8"/>
      <c r="K16" s="7" t="str">
        <f aca="false">IF(OR(F16="",I16=""),"",IF(AND(F16="Sí",I16="Sí"),"Sí","No"))</f>
        <v/>
      </c>
      <c r="L16" s="10"/>
      <c r="M16" s="10"/>
      <c r="N16" s="8"/>
      <c r="O16" s="10"/>
      <c r="P16" s="10"/>
      <c r="Q16" s="7" t="str">
        <f aca="false">IF(OR(O16="",P16=""),"",IF(O16=P16,"Sí","No"))</f>
        <v/>
      </c>
      <c r="R16" s="10"/>
      <c r="S16" s="8"/>
      <c r="T16" s="8"/>
    </row>
    <row r="17" customFormat="false" ht="15" hidden="false" customHeight="false" outlineLevel="0" collapsed="false">
      <c r="A17" s="7" t="s">
        <v>93</v>
      </c>
      <c r="B17" s="10"/>
      <c r="C17" s="8"/>
      <c r="D17" s="9"/>
      <c r="E17" s="13" t="str">
        <f aca="false">IF(B17="","",IFERROR(INDEX(Iniciativas!$J$2:$J$11,MATCH(B17,Iniciativas!$B$2:$B$11,0)),""))</f>
        <v/>
      </c>
      <c r="F17" s="7" t="str">
        <f aca="false">IF(OR(NOT(ISNUMBER(D17)),NOT(ISNUMBER(E17))),"",IF(D17&gt;E17,"Sí","No"))</f>
        <v/>
      </c>
      <c r="G17" s="10"/>
      <c r="H17" s="10"/>
      <c r="I17" s="10"/>
      <c r="J17" s="8"/>
      <c r="K17" s="7" t="str">
        <f aca="false">IF(OR(F17="",I17=""),"",IF(AND(F17="Sí",I17="Sí"),"Sí","No"))</f>
        <v/>
      </c>
      <c r="L17" s="10"/>
      <c r="M17" s="10"/>
      <c r="N17" s="8"/>
      <c r="O17" s="10"/>
      <c r="P17" s="10"/>
      <c r="Q17" s="7" t="str">
        <f aca="false">IF(OR(O17="",P17=""),"",IF(O17=P17,"Sí","No"))</f>
        <v/>
      </c>
      <c r="R17" s="10"/>
      <c r="S17" s="8"/>
      <c r="T17" s="8"/>
    </row>
    <row r="18" customFormat="false" ht="15" hidden="false" customHeight="false" outlineLevel="0" collapsed="false">
      <c r="A18" s="7" t="s">
        <v>94</v>
      </c>
      <c r="B18" s="10"/>
      <c r="C18" s="8"/>
      <c r="D18" s="9"/>
      <c r="E18" s="13" t="str">
        <f aca="false">IF(B18="","",IFERROR(INDEX(Iniciativas!$J$2:$J$11,MATCH(B18,Iniciativas!$B$2:$B$11,0)),""))</f>
        <v/>
      </c>
      <c r="F18" s="7" t="str">
        <f aca="false">IF(OR(NOT(ISNUMBER(D18)),NOT(ISNUMBER(E18))),"",IF(D18&gt;E18,"Sí","No"))</f>
        <v/>
      </c>
      <c r="G18" s="10"/>
      <c r="H18" s="10"/>
      <c r="I18" s="10"/>
      <c r="J18" s="8"/>
      <c r="K18" s="7" t="str">
        <f aca="false">IF(OR(F18="",I18=""),"",IF(AND(F18="Sí",I18="Sí"),"Sí","No"))</f>
        <v/>
      </c>
      <c r="L18" s="10"/>
      <c r="M18" s="10"/>
      <c r="N18" s="8"/>
      <c r="O18" s="10"/>
      <c r="P18" s="10"/>
      <c r="Q18" s="7" t="str">
        <f aca="false">IF(OR(O18="",P18=""),"",IF(O18=P18,"Sí","No"))</f>
        <v/>
      </c>
      <c r="R18" s="10"/>
      <c r="S18" s="8"/>
      <c r="T18" s="8"/>
    </row>
    <row r="19" customFormat="false" ht="15" hidden="false" customHeight="false" outlineLevel="0" collapsed="false">
      <c r="A19" s="7" t="s">
        <v>95</v>
      </c>
      <c r="B19" s="10"/>
      <c r="C19" s="8"/>
      <c r="D19" s="9"/>
      <c r="E19" s="13" t="str">
        <f aca="false">IF(B19="","",IFERROR(INDEX(Iniciativas!$J$2:$J$11,MATCH(B19,Iniciativas!$B$2:$B$11,0)),""))</f>
        <v/>
      </c>
      <c r="F19" s="7" t="str">
        <f aca="false">IF(OR(NOT(ISNUMBER(D19)),NOT(ISNUMBER(E19))),"",IF(D19&gt;E19,"Sí","No"))</f>
        <v/>
      </c>
      <c r="G19" s="10"/>
      <c r="H19" s="10"/>
      <c r="I19" s="10"/>
      <c r="J19" s="8"/>
      <c r="K19" s="7" t="str">
        <f aca="false">IF(OR(F19="",I19=""),"",IF(AND(F19="Sí",I19="Sí"),"Sí","No"))</f>
        <v/>
      </c>
      <c r="L19" s="10"/>
      <c r="M19" s="10"/>
      <c r="N19" s="8"/>
      <c r="O19" s="10"/>
      <c r="P19" s="10"/>
      <c r="Q19" s="7" t="str">
        <f aca="false">IF(OR(O19="",P19=""),"",IF(O19=P19,"Sí","No"))</f>
        <v/>
      </c>
      <c r="R19" s="10"/>
      <c r="S19" s="8"/>
      <c r="T19" s="8"/>
    </row>
    <row r="20" customFormat="false" ht="15" hidden="false" customHeight="false" outlineLevel="0" collapsed="false">
      <c r="A20" s="7" t="s">
        <v>96</v>
      </c>
      <c r="B20" s="10"/>
      <c r="C20" s="8"/>
      <c r="D20" s="9"/>
      <c r="E20" s="13" t="str">
        <f aca="false">IF(B20="","",IFERROR(INDEX(Iniciativas!$J$2:$J$11,MATCH(B20,Iniciativas!$B$2:$B$11,0)),""))</f>
        <v/>
      </c>
      <c r="F20" s="7" t="str">
        <f aca="false">IF(OR(NOT(ISNUMBER(D20)),NOT(ISNUMBER(E20))),"",IF(D20&gt;E20,"Sí","No"))</f>
        <v/>
      </c>
      <c r="G20" s="10"/>
      <c r="H20" s="10"/>
      <c r="I20" s="10"/>
      <c r="J20" s="8"/>
      <c r="K20" s="7" t="str">
        <f aca="false">IF(OR(F20="",I20=""),"",IF(AND(F20="Sí",I20="Sí"),"Sí","No"))</f>
        <v/>
      </c>
      <c r="L20" s="10"/>
      <c r="M20" s="10"/>
      <c r="N20" s="8"/>
      <c r="O20" s="10"/>
      <c r="P20" s="10"/>
      <c r="Q20" s="7" t="str">
        <f aca="false">IF(OR(O20="",P20=""),"",IF(O20=P20,"Sí","No"))</f>
        <v/>
      </c>
      <c r="R20" s="10"/>
      <c r="S20" s="8"/>
      <c r="T20" s="8"/>
    </row>
    <row r="21" customFormat="false" ht="15" hidden="false" customHeight="false" outlineLevel="0" collapsed="false">
      <c r="A21" s="7" t="s">
        <v>97</v>
      </c>
      <c r="B21" s="10"/>
      <c r="C21" s="8"/>
      <c r="D21" s="9"/>
      <c r="E21" s="13" t="str">
        <f aca="false">IF(B21="","",IFERROR(INDEX(Iniciativas!$J$2:$J$11,MATCH(B21,Iniciativas!$B$2:$B$11,0)),""))</f>
        <v/>
      </c>
      <c r="F21" s="7" t="str">
        <f aca="false">IF(OR(NOT(ISNUMBER(D21)),NOT(ISNUMBER(E21))),"",IF(D21&gt;E21,"Sí","No"))</f>
        <v/>
      </c>
      <c r="G21" s="10"/>
      <c r="H21" s="10"/>
      <c r="I21" s="10"/>
      <c r="J21" s="8"/>
      <c r="K21" s="7" t="str">
        <f aca="false">IF(OR(F21="",I21=""),"",IF(AND(F21="Sí",I21="Sí"),"Sí","No"))</f>
        <v/>
      </c>
      <c r="L21" s="10"/>
      <c r="M21" s="10"/>
      <c r="N21" s="8"/>
      <c r="O21" s="10"/>
      <c r="P21" s="10"/>
      <c r="Q21" s="7" t="str">
        <f aca="false">IF(OR(O21="",P21=""),"",IF(O21=P21,"Sí","No"))</f>
        <v/>
      </c>
      <c r="R21" s="10"/>
      <c r="S21" s="8"/>
      <c r="T21" s="8"/>
    </row>
    <row r="22" customFormat="false" ht="15" hidden="false" customHeight="false" outlineLevel="0" collapsed="false">
      <c r="A22" s="7" t="s">
        <v>98</v>
      </c>
      <c r="B22" s="10"/>
      <c r="C22" s="8"/>
      <c r="D22" s="9"/>
      <c r="E22" s="13" t="str">
        <f aca="false">IF(B22="","",IFERROR(INDEX(Iniciativas!$J$2:$J$11,MATCH(B22,Iniciativas!$B$2:$B$11,0)),""))</f>
        <v/>
      </c>
      <c r="F22" s="7" t="str">
        <f aca="false">IF(OR(NOT(ISNUMBER(D22)),NOT(ISNUMBER(E22))),"",IF(D22&gt;E22,"Sí","No"))</f>
        <v/>
      </c>
      <c r="G22" s="10"/>
      <c r="H22" s="10"/>
      <c r="I22" s="10"/>
      <c r="J22" s="8"/>
      <c r="K22" s="7" t="str">
        <f aca="false">IF(OR(F22="",I22=""),"",IF(AND(F22="Sí",I22="Sí"),"Sí","No"))</f>
        <v/>
      </c>
      <c r="L22" s="10"/>
      <c r="M22" s="10"/>
      <c r="N22" s="8"/>
      <c r="O22" s="10"/>
      <c r="P22" s="10"/>
      <c r="Q22" s="7" t="str">
        <f aca="false">IF(OR(O22="",P22=""),"",IF(O22=P22,"Sí","No"))</f>
        <v/>
      </c>
      <c r="R22" s="10"/>
      <c r="S22" s="8"/>
      <c r="T22" s="8"/>
    </row>
    <row r="23" customFormat="false" ht="15" hidden="false" customHeight="false" outlineLevel="0" collapsed="false">
      <c r="A23" s="7" t="s">
        <v>99</v>
      </c>
      <c r="B23" s="10"/>
      <c r="C23" s="8"/>
      <c r="D23" s="9"/>
      <c r="E23" s="13" t="str">
        <f aca="false">IF(B23="","",IFERROR(INDEX(Iniciativas!$J$2:$J$11,MATCH(B23,Iniciativas!$B$2:$B$11,0)),""))</f>
        <v/>
      </c>
      <c r="F23" s="7" t="str">
        <f aca="false">IF(OR(NOT(ISNUMBER(D23)),NOT(ISNUMBER(E23))),"",IF(D23&gt;E23,"Sí","No"))</f>
        <v/>
      </c>
      <c r="G23" s="10"/>
      <c r="H23" s="10"/>
      <c r="I23" s="10"/>
      <c r="J23" s="8"/>
      <c r="K23" s="7" t="str">
        <f aca="false">IF(OR(F23="",I23=""),"",IF(AND(F23="Sí",I23="Sí"),"Sí","No"))</f>
        <v/>
      </c>
      <c r="L23" s="10"/>
      <c r="M23" s="10"/>
      <c r="N23" s="8"/>
      <c r="O23" s="10"/>
      <c r="P23" s="10"/>
      <c r="Q23" s="7" t="str">
        <f aca="false">IF(OR(O23="",P23=""),"",IF(O23=P23,"Sí","No"))</f>
        <v/>
      </c>
      <c r="R23" s="10"/>
      <c r="S23" s="8"/>
      <c r="T23" s="8"/>
    </row>
    <row r="24" customFormat="false" ht="15" hidden="false" customHeight="false" outlineLevel="0" collapsed="false">
      <c r="A24" s="7" t="s">
        <v>100</v>
      </c>
      <c r="B24" s="10"/>
      <c r="C24" s="8"/>
      <c r="D24" s="9"/>
      <c r="E24" s="13" t="str">
        <f aca="false">IF(B24="","",IFERROR(INDEX(Iniciativas!$J$2:$J$11,MATCH(B24,Iniciativas!$B$2:$B$11,0)),""))</f>
        <v/>
      </c>
      <c r="F24" s="7" t="str">
        <f aca="false">IF(OR(NOT(ISNUMBER(D24)),NOT(ISNUMBER(E24))),"",IF(D24&gt;E24,"Sí","No"))</f>
        <v/>
      </c>
      <c r="G24" s="10"/>
      <c r="H24" s="10"/>
      <c r="I24" s="10"/>
      <c r="J24" s="8"/>
      <c r="K24" s="7" t="str">
        <f aca="false">IF(OR(F24="",I24=""),"",IF(AND(F24="Sí",I24="Sí"),"Sí","No"))</f>
        <v/>
      </c>
      <c r="L24" s="10"/>
      <c r="M24" s="10"/>
      <c r="N24" s="8"/>
      <c r="O24" s="10"/>
      <c r="P24" s="10"/>
      <c r="Q24" s="7" t="str">
        <f aca="false">IF(OR(O24="",P24=""),"",IF(O24=P24,"Sí","No"))</f>
        <v/>
      </c>
      <c r="R24" s="10"/>
      <c r="S24" s="8"/>
      <c r="T24" s="8"/>
    </row>
    <row r="25" customFormat="false" ht="15" hidden="false" customHeight="false" outlineLevel="0" collapsed="false">
      <c r="A25" s="7" t="s">
        <v>101</v>
      </c>
      <c r="B25" s="10"/>
      <c r="C25" s="8"/>
      <c r="D25" s="9"/>
      <c r="E25" s="13" t="str">
        <f aca="false">IF(B25="","",IFERROR(INDEX(Iniciativas!$J$2:$J$11,MATCH(B25,Iniciativas!$B$2:$B$11,0)),""))</f>
        <v/>
      </c>
      <c r="F25" s="7" t="str">
        <f aca="false">IF(OR(NOT(ISNUMBER(D25)),NOT(ISNUMBER(E25))),"",IF(D25&gt;E25,"Sí","No"))</f>
        <v/>
      </c>
      <c r="G25" s="10"/>
      <c r="H25" s="10"/>
      <c r="I25" s="10"/>
      <c r="J25" s="8"/>
      <c r="K25" s="7" t="str">
        <f aca="false">IF(OR(F25="",I25=""),"",IF(AND(F25="Sí",I25="Sí"),"Sí","No"))</f>
        <v/>
      </c>
      <c r="L25" s="10"/>
      <c r="M25" s="10"/>
      <c r="N25" s="8"/>
      <c r="O25" s="10"/>
      <c r="P25" s="10"/>
      <c r="Q25" s="7" t="str">
        <f aca="false">IF(OR(O25="",P25=""),"",IF(O25=P25,"Sí","No"))</f>
        <v/>
      </c>
      <c r="R25" s="10"/>
      <c r="S25" s="8"/>
      <c r="T25" s="8"/>
    </row>
    <row r="26" customFormat="false" ht="15" hidden="false" customHeight="false" outlineLevel="0" collapsed="false">
      <c r="A26" s="7" t="s">
        <v>102</v>
      </c>
      <c r="B26" s="10"/>
      <c r="C26" s="8"/>
      <c r="D26" s="9"/>
      <c r="E26" s="13" t="str">
        <f aca="false">IF(B26="","",IFERROR(INDEX(Iniciativas!$J$2:$J$11,MATCH(B26,Iniciativas!$B$2:$B$11,0)),""))</f>
        <v/>
      </c>
      <c r="F26" s="7" t="str">
        <f aca="false">IF(OR(NOT(ISNUMBER(D26)),NOT(ISNUMBER(E26))),"",IF(D26&gt;E26,"Sí","No"))</f>
        <v/>
      </c>
      <c r="G26" s="10"/>
      <c r="H26" s="10"/>
      <c r="I26" s="10"/>
      <c r="J26" s="8"/>
      <c r="K26" s="7" t="str">
        <f aca="false">IF(OR(F26="",I26=""),"",IF(AND(F26="Sí",I26="Sí"),"Sí","No"))</f>
        <v/>
      </c>
      <c r="L26" s="10"/>
      <c r="M26" s="10"/>
      <c r="N26" s="8"/>
      <c r="O26" s="10"/>
      <c r="P26" s="10"/>
      <c r="Q26" s="7" t="str">
        <f aca="false">IF(OR(O26="",P26=""),"",IF(O26=P26,"Sí","No"))</f>
        <v/>
      </c>
      <c r="R26" s="10"/>
      <c r="S26" s="8"/>
      <c r="T26" s="8"/>
    </row>
    <row r="27" customFormat="false" ht="15" hidden="false" customHeight="false" outlineLevel="0" collapsed="false">
      <c r="A27" s="7" t="s">
        <v>103</v>
      </c>
      <c r="B27" s="10"/>
      <c r="C27" s="8"/>
      <c r="D27" s="9"/>
      <c r="E27" s="13" t="str">
        <f aca="false">IF(B27="","",IFERROR(INDEX(Iniciativas!$J$2:$J$11,MATCH(B27,Iniciativas!$B$2:$B$11,0)),""))</f>
        <v/>
      </c>
      <c r="F27" s="7" t="str">
        <f aca="false">IF(OR(NOT(ISNUMBER(D27)),NOT(ISNUMBER(E27))),"",IF(D27&gt;E27,"Sí","No"))</f>
        <v/>
      </c>
      <c r="G27" s="10"/>
      <c r="H27" s="10"/>
      <c r="I27" s="10"/>
      <c r="J27" s="8"/>
      <c r="K27" s="7" t="str">
        <f aca="false">IF(OR(F27="",I27=""),"",IF(AND(F27="Sí",I27="Sí"),"Sí","No"))</f>
        <v/>
      </c>
      <c r="L27" s="10"/>
      <c r="M27" s="10"/>
      <c r="N27" s="8"/>
      <c r="O27" s="10"/>
      <c r="P27" s="10"/>
      <c r="Q27" s="7" t="str">
        <f aca="false">IF(OR(O27="",P27=""),"",IF(O27=P27,"Sí","No"))</f>
        <v/>
      </c>
      <c r="R27" s="10"/>
      <c r="S27" s="8"/>
      <c r="T27" s="8"/>
    </row>
    <row r="28" customFormat="false" ht="15" hidden="false" customHeight="false" outlineLevel="0" collapsed="false">
      <c r="A28" s="7" t="s">
        <v>104</v>
      </c>
      <c r="B28" s="10"/>
      <c r="C28" s="8"/>
      <c r="D28" s="9"/>
      <c r="E28" s="13" t="str">
        <f aca="false">IF(B28="","",IFERROR(INDEX(Iniciativas!$J$2:$J$11,MATCH(B28,Iniciativas!$B$2:$B$11,0)),""))</f>
        <v/>
      </c>
      <c r="F28" s="7" t="str">
        <f aca="false">IF(OR(NOT(ISNUMBER(D28)),NOT(ISNUMBER(E28))),"",IF(D28&gt;E28,"Sí","No"))</f>
        <v/>
      </c>
      <c r="G28" s="10"/>
      <c r="H28" s="10"/>
      <c r="I28" s="10"/>
      <c r="J28" s="8"/>
      <c r="K28" s="7" t="str">
        <f aca="false">IF(OR(F28="",I28=""),"",IF(AND(F28="Sí",I28="Sí"),"Sí","No"))</f>
        <v/>
      </c>
      <c r="L28" s="10"/>
      <c r="M28" s="10"/>
      <c r="N28" s="8"/>
      <c r="O28" s="10"/>
      <c r="P28" s="10"/>
      <c r="Q28" s="7" t="str">
        <f aca="false">IF(OR(O28="",P28=""),"",IF(O28=P28,"Sí","No"))</f>
        <v/>
      </c>
      <c r="R28" s="10"/>
      <c r="S28" s="8"/>
      <c r="T28" s="8"/>
    </row>
    <row r="29" customFormat="false" ht="15" hidden="false" customHeight="false" outlineLevel="0" collapsed="false">
      <c r="A29" s="7" t="s">
        <v>105</v>
      </c>
      <c r="B29" s="10"/>
      <c r="C29" s="8"/>
      <c r="D29" s="9"/>
      <c r="E29" s="13" t="str">
        <f aca="false">IF(B29="","",IFERROR(INDEX(Iniciativas!$J$2:$J$11,MATCH(B29,Iniciativas!$B$2:$B$11,0)),""))</f>
        <v/>
      </c>
      <c r="F29" s="7" t="str">
        <f aca="false">IF(OR(NOT(ISNUMBER(D29)),NOT(ISNUMBER(E29))),"",IF(D29&gt;E29,"Sí","No"))</f>
        <v/>
      </c>
      <c r="G29" s="10"/>
      <c r="H29" s="10"/>
      <c r="I29" s="10"/>
      <c r="J29" s="8"/>
      <c r="K29" s="7" t="str">
        <f aca="false">IF(OR(F29="",I29=""),"",IF(AND(F29="Sí",I29="Sí"),"Sí","No"))</f>
        <v/>
      </c>
      <c r="L29" s="10"/>
      <c r="M29" s="10"/>
      <c r="N29" s="8"/>
      <c r="O29" s="10"/>
      <c r="P29" s="10"/>
      <c r="Q29" s="7" t="str">
        <f aca="false">IF(OR(O29="",P29=""),"",IF(O29=P29,"Sí","No"))</f>
        <v/>
      </c>
      <c r="R29" s="10"/>
      <c r="S29" s="8"/>
      <c r="T29" s="8"/>
    </row>
    <row r="30" customFormat="false" ht="15" hidden="false" customHeight="false" outlineLevel="0" collapsed="false">
      <c r="A30" s="7" t="s">
        <v>106</v>
      </c>
      <c r="B30" s="10"/>
      <c r="C30" s="8"/>
      <c r="D30" s="9"/>
      <c r="E30" s="13" t="str">
        <f aca="false">IF(B30="","",IFERROR(INDEX(Iniciativas!$J$2:$J$11,MATCH(B30,Iniciativas!$B$2:$B$11,0)),""))</f>
        <v/>
      </c>
      <c r="F30" s="7" t="str">
        <f aca="false">IF(OR(NOT(ISNUMBER(D30)),NOT(ISNUMBER(E30))),"",IF(D30&gt;E30,"Sí","No"))</f>
        <v/>
      </c>
      <c r="G30" s="10"/>
      <c r="H30" s="10"/>
      <c r="I30" s="10"/>
      <c r="J30" s="8"/>
      <c r="K30" s="7" t="str">
        <f aca="false">IF(OR(F30="",I30=""),"",IF(AND(F30="Sí",I30="Sí"),"Sí","No"))</f>
        <v/>
      </c>
      <c r="L30" s="10"/>
      <c r="M30" s="10"/>
      <c r="N30" s="8"/>
      <c r="O30" s="10"/>
      <c r="P30" s="10"/>
      <c r="Q30" s="7" t="str">
        <f aca="false">IF(OR(O30="",P30=""),"",IF(O30=P30,"Sí","No"))</f>
        <v/>
      </c>
      <c r="R30" s="10"/>
      <c r="S30" s="8"/>
      <c r="T30" s="8"/>
    </row>
    <row r="31" customFormat="false" ht="15" hidden="false" customHeight="false" outlineLevel="0" collapsed="false">
      <c r="A31" s="7" t="s">
        <v>107</v>
      </c>
      <c r="B31" s="10"/>
      <c r="C31" s="8"/>
      <c r="D31" s="9"/>
      <c r="E31" s="13" t="str">
        <f aca="false">IF(B31="","",IFERROR(INDEX(Iniciativas!$J$2:$J$11,MATCH(B31,Iniciativas!$B$2:$B$11,0)),""))</f>
        <v/>
      </c>
      <c r="F31" s="7" t="str">
        <f aca="false">IF(OR(NOT(ISNUMBER(D31)),NOT(ISNUMBER(E31))),"",IF(D31&gt;E31,"Sí","No"))</f>
        <v/>
      </c>
      <c r="G31" s="10"/>
      <c r="H31" s="10"/>
      <c r="I31" s="10"/>
      <c r="J31" s="8"/>
      <c r="K31" s="7" t="str">
        <f aca="false">IF(OR(F31="",I31=""),"",IF(AND(F31="Sí",I31="Sí"),"Sí","No"))</f>
        <v/>
      </c>
      <c r="L31" s="10"/>
      <c r="M31" s="10"/>
      <c r="N31" s="8"/>
      <c r="O31" s="10"/>
      <c r="P31" s="10"/>
      <c r="Q31" s="7" t="str">
        <f aca="false">IF(OR(O31="",P31=""),"",IF(O31=P31,"Sí","No"))</f>
        <v/>
      </c>
      <c r="R31" s="10"/>
      <c r="S31" s="8"/>
      <c r="T31" s="8"/>
    </row>
    <row r="32" customFormat="false" ht="15" hidden="false" customHeight="false" outlineLevel="0" collapsed="false">
      <c r="A32" s="7" t="s">
        <v>108</v>
      </c>
      <c r="B32" s="10"/>
      <c r="C32" s="8"/>
      <c r="D32" s="9"/>
      <c r="E32" s="13" t="str">
        <f aca="false">IF(B32="","",IFERROR(INDEX(Iniciativas!$J$2:$J$11,MATCH(B32,Iniciativas!$B$2:$B$11,0)),""))</f>
        <v/>
      </c>
      <c r="F32" s="7" t="str">
        <f aca="false">IF(OR(NOT(ISNUMBER(D32)),NOT(ISNUMBER(E32))),"",IF(D32&gt;E32,"Sí","No"))</f>
        <v/>
      </c>
      <c r="G32" s="10"/>
      <c r="H32" s="10"/>
      <c r="I32" s="10"/>
      <c r="J32" s="8"/>
      <c r="K32" s="7" t="str">
        <f aca="false">IF(OR(F32="",I32=""),"",IF(AND(F32="Sí",I32="Sí"),"Sí","No"))</f>
        <v/>
      </c>
      <c r="L32" s="10"/>
      <c r="M32" s="10"/>
      <c r="N32" s="8"/>
      <c r="O32" s="10"/>
      <c r="P32" s="10"/>
      <c r="Q32" s="7" t="str">
        <f aca="false">IF(OR(O32="",P32=""),"",IF(O32=P32,"Sí","No"))</f>
        <v/>
      </c>
      <c r="R32" s="10"/>
      <c r="S32" s="8"/>
      <c r="T32" s="8"/>
    </row>
    <row r="33" customFormat="false" ht="15" hidden="false" customHeight="false" outlineLevel="0" collapsed="false">
      <c r="A33" s="7" t="s">
        <v>109</v>
      </c>
      <c r="B33" s="10"/>
      <c r="C33" s="8"/>
      <c r="D33" s="9"/>
      <c r="E33" s="13" t="str">
        <f aca="false">IF(B33="","",IFERROR(INDEX(Iniciativas!$J$2:$J$11,MATCH(B33,Iniciativas!$B$2:$B$11,0)),""))</f>
        <v/>
      </c>
      <c r="F33" s="7" t="str">
        <f aca="false">IF(OR(NOT(ISNUMBER(D33)),NOT(ISNUMBER(E33))),"",IF(D33&gt;E33,"Sí","No"))</f>
        <v/>
      </c>
      <c r="G33" s="10"/>
      <c r="H33" s="10"/>
      <c r="I33" s="10"/>
      <c r="J33" s="8"/>
      <c r="K33" s="7" t="str">
        <f aca="false">IF(OR(F33="",I33=""),"",IF(AND(F33="Sí",I33="Sí"),"Sí","No"))</f>
        <v/>
      </c>
      <c r="L33" s="10"/>
      <c r="M33" s="10"/>
      <c r="N33" s="8"/>
      <c r="O33" s="10"/>
      <c r="P33" s="10"/>
      <c r="Q33" s="7" t="str">
        <f aca="false">IF(OR(O33="",P33=""),"",IF(O33=P33,"Sí","No"))</f>
        <v/>
      </c>
      <c r="R33" s="10"/>
      <c r="S33" s="8"/>
      <c r="T33" s="8"/>
    </row>
    <row r="34" customFormat="false" ht="15" hidden="false" customHeight="false" outlineLevel="0" collapsed="false">
      <c r="A34" s="7" t="s">
        <v>110</v>
      </c>
      <c r="B34" s="10"/>
      <c r="C34" s="8"/>
      <c r="D34" s="9"/>
      <c r="E34" s="13" t="str">
        <f aca="false">IF(B34="","",IFERROR(INDEX(Iniciativas!$J$2:$J$11,MATCH(B34,Iniciativas!$B$2:$B$11,0)),""))</f>
        <v/>
      </c>
      <c r="F34" s="7" t="str">
        <f aca="false">IF(OR(NOT(ISNUMBER(D34)),NOT(ISNUMBER(E34))),"",IF(D34&gt;E34,"Sí","No"))</f>
        <v/>
      </c>
      <c r="G34" s="10"/>
      <c r="H34" s="10"/>
      <c r="I34" s="10"/>
      <c r="J34" s="8"/>
      <c r="K34" s="7" t="str">
        <f aca="false">IF(OR(F34="",I34=""),"",IF(AND(F34="Sí",I34="Sí"),"Sí","No"))</f>
        <v/>
      </c>
      <c r="L34" s="10"/>
      <c r="M34" s="10"/>
      <c r="N34" s="8"/>
      <c r="O34" s="10"/>
      <c r="P34" s="10"/>
      <c r="Q34" s="7" t="str">
        <f aca="false">IF(OR(O34="",P34=""),"",IF(O34=P34,"Sí","No"))</f>
        <v/>
      </c>
      <c r="R34" s="10"/>
      <c r="S34" s="8"/>
      <c r="T34" s="8"/>
    </row>
    <row r="35" customFormat="false" ht="15" hidden="false" customHeight="false" outlineLevel="0" collapsed="false">
      <c r="A35" s="7" t="s">
        <v>111</v>
      </c>
      <c r="B35" s="10"/>
      <c r="C35" s="8"/>
      <c r="D35" s="9"/>
      <c r="E35" s="13" t="str">
        <f aca="false">IF(B35="","",IFERROR(INDEX(Iniciativas!$J$2:$J$11,MATCH(B35,Iniciativas!$B$2:$B$11,0)),""))</f>
        <v/>
      </c>
      <c r="F35" s="7" t="str">
        <f aca="false">IF(OR(NOT(ISNUMBER(D35)),NOT(ISNUMBER(E35))),"",IF(D35&gt;E35,"Sí","No"))</f>
        <v/>
      </c>
      <c r="G35" s="10"/>
      <c r="H35" s="10"/>
      <c r="I35" s="10"/>
      <c r="J35" s="8"/>
      <c r="K35" s="7" t="str">
        <f aca="false">IF(OR(F35="",I35=""),"",IF(AND(F35="Sí",I35="Sí"),"Sí","No"))</f>
        <v/>
      </c>
      <c r="L35" s="10"/>
      <c r="M35" s="10"/>
      <c r="N35" s="8"/>
      <c r="O35" s="10"/>
      <c r="P35" s="10"/>
      <c r="Q35" s="7" t="str">
        <f aca="false">IF(OR(O35="",P35=""),"",IF(O35=P35,"Sí","No"))</f>
        <v/>
      </c>
      <c r="R35" s="10"/>
      <c r="S35" s="8"/>
      <c r="T35" s="8"/>
    </row>
    <row r="36" customFormat="false" ht="15" hidden="false" customHeight="false" outlineLevel="0" collapsed="false">
      <c r="A36" s="7" t="s">
        <v>112</v>
      </c>
      <c r="B36" s="10"/>
      <c r="C36" s="8"/>
      <c r="D36" s="9"/>
      <c r="E36" s="13" t="str">
        <f aca="false">IF(B36="","",IFERROR(INDEX(Iniciativas!$J$2:$J$11,MATCH(B36,Iniciativas!$B$2:$B$11,0)),""))</f>
        <v/>
      </c>
      <c r="F36" s="7" t="str">
        <f aca="false">IF(OR(NOT(ISNUMBER(D36)),NOT(ISNUMBER(E36))),"",IF(D36&gt;E36,"Sí","No"))</f>
        <v/>
      </c>
      <c r="G36" s="10"/>
      <c r="H36" s="10"/>
      <c r="I36" s="10"/>
      <c r="J36" s="8"/>
      <c r="K36" s="7" t="str">
        <f aca="false">IF(OR(F36="",I36=""),"",IF(AND(F36="Sí",I36="Sí"),"Sí","No"))</f>
        <v/>
      </c>
      <c r="L36" s="10"/>
      <c r="M36" s="10"/>
      <c r="N36" s="8"/>
      <c r="O36" s="10"/>
      <c r="P36" s="10"/>
      <c r="Q36" s="7" t="str">
        <f aca="false">IF(OR(O36="",P36=""),"",IF(O36=P36,"Sí","No"))</f>
        <v/>
      </c>
      <c r="R36" s="10"/>
      <c r="S36" s="8"/>
      <c r="T36" s="8"/>
    </row>
    <row r="37" customFormat="false" ht="15" hidden="false" customHeight="false" outlineLevel="0" collapsed="false">
      <c r="A37" s="7" t="s">
        <v>113</v>
      </c>
      <c r="B37" s="10"/>
      <c r="C37" s="8"/>
      <c r="D37" s="9"/>
      <c r="E37" s="13" t="str">
        <f aca="false">IF(B37="","",IFERROR(INDEX(Iniciativas!$J$2:$J$11,MATCH(B37,Iniciativas!$B$2:$B$11,0)),""))</f>
        <v/>
      </c>
      <c r="F37" s="7" t="str">
        <f aca="false">IF(OR(NOT(ISNUMBER(D37)),NOT(ISNUMBER(E37))),"",IF(D37&gt;E37,"Sí","No"))</f>
        <v/>
      </c>
      <c r="G37" s="10"/>
      <c r="H37" s="10"/>
      <c r="I37" s="10"/>
      <c r="J37" s="8"/>
      <c r="K37" s="7" t="str">
        <f aca="false">IF(OR(F37="",I37=""),"",IF(AND(F37="Sí",I37="Sí"),"Sí","No"))</f>
        <v/>
      </c>
      <c r="L37" s="10"/>
      <c r="M37" s="10"/>
      <c r="N37" s="8"/>
      <c r="O37" s="10"/>
      <c r="P37" s="10"/>
      <c r="Q37" s="7" t="str">
        <f aca="false">IF(OR(O37="",P37=""),"",IF(O37=P37,"Sí","No"))</f>
        <v/>
      </c>
      <c r="R37" s="10"/>
      <c r="S37" s="8"/>
      <c r="T37" s="8"/>
    </row>
    <row r="38" customFormat="false" ht="15" hidden="false" customHeight="false" outlineLevel="0" collapsed="false">
      <c r="A38" s="7" t="s">
        <v>114</v>
      </c>
      <c r="B38" s="10"/>
      <c r="C38" s="8"/>
      <c r="D38" s="9"/>
      <c r="E38" s="13" t="str">
        <f aca="false">IF(B38="","",IFERROR(INDEX(Iniciativas!$J$2:$J$11,MATCH(B38,Iniciativas!$B$2:$B$11,0)),""))</f>
        <v/>
      </c>
      <c r="F38" s="7" t="str">
        <f aca="false">IF(OR(NOT(ISNUMBER(D38)),NOT(ISNUMBER(E38))),"",IF(D38&gt;E38,"Sí","No"))</f>
        <v/>
      </c>
      <c r="G38" s="10"/>
      <c r="H38" s="10"/>
      <c r="I38" s="10"/>
      <c r="J38" s="8"/>
      <c r="K38" s="7" t="str">
        <f aca="false">IF(OR(F38="",I38=""),"",IF(AND(F38="Sí",I38="Sí"),"Sí","No"))</f>
        <v/>
      </c>
      <c r="L38" s="10"/>
      <c r="M38" s="10"/>
      <c r="N38" s="8"/>
      <c r="O38" s="10"/>
      <c r="P38" s="10"/>
      <c r="Q38" s="7" t="str">
        <f aca="false">IF(OR(O38="",P38=""),"",IF(O38=P38,"Sí","No"))</f>
        <v/>
      </c>
      <c r="R38" s="10"/>
      <c r="S38" s="8"/>
      <c r="T38" s="8"/>
    </row>
    <row r="39" customFormat="false" ht="15" hidden="false" customHeight="false" outlineLevel="0" collapsed="false">
      <c r="A39" s="7" t="s">
        <v>115</v>
      </c>
      <c r="B39" s="10"/>
      <c r="C39" s="8"/>
      <c r="D39" s="9"/>
      <c r="E39" s="13" t="str">
        <f aca="false">IF(B39="","",IFERROR(INDEX(Iniciativas!$J$2:$J$11,MATCH(B39,Iniciativas!$B$2:$B$11,0)),""))</f>
        <v/>
      </c>
      <c r="F39" s="7" t="str">
        <f aca="false">IF(OR(NOT(ISNUMBER(D39)),NOT(ISNUMBER(E39))),"",IF(D39&gt;E39,"Sí","No"))</f>
        <v/>
      </c>
      <c r="G39" s="10"/>
      <c r="H39" s="10"/>
      <c r="I39" s="10"/>
      <c r="J39" s="8"/>
      <c r="K39" s="7" t="str">
        <f aca="false">IF(OR(F39="",I39=""),"",IF(AND(F39="Sí",I39="Sí"),"Sí","No"))</f>
        <v/>
      </c>
      <c r="L39" s="10"/>
      <c r="M39" s="10"/>
      <c r="N39" s="8"/>
      <c r="O39" s="10"/>
      <c r="P39" s="10"/>
      <c r="Q39" s="7" t="str">
        <f aca="false">IF(OR(O39="",P39=""),"",IF(O39=P39,"Sí","No"))</f>
        <v/>
      </c>
      <c r="R39" s="10"/>
      <c r="S39" s="8"/>
      <c r="T39" s="8"/>
    </row>
    <row r="40" customFormat="false" ht="15" hidden="false" customHeight="false" outlineLevel="0" collapsed="false">
      <c r="A40" s="7" t="s">
        <v>116</v>
      </c>
      <c r="B40" s="10"/>
      <c r="C40" s="8"/>
      <c r="D40" s="9"/>
      <c r="E40" s="13" t="str">
        <f aca="false">IF(B40="","",IFERROR(INDEX(Iniciativas!$J$2:$J$11,MATCH(B40,Iniciativas!$B$2:$B$11,0)),""))</f>
        <v/>
      </c>
      <c r="F40" s="7" t="str">
        <f aca="false">IF(OR(NOT(ISNUMBER(D40)),NOT(ISNUMBER(E40))),"",IF(D40&gt;E40,"Sí","No"))</f>
        <v/>
      </c>
      <c r="G40" s="10"/>
      <c r="H40" s="10"/>
      <c r="I40" s="10"/>
      <c r="J40" s="8"/>
      <c r="K40" s="7" t="str">
        <f aca="false">IF(OR(F40="",I40=""),"",IF(AND(F40="Sí",I40="Sí"),"Sí","No"))</f>
        <v/>
      </c>
      <c r="L40" s="10"/>
      <c r="M40" s="10"/>
      <c r="N40" s="8"/>
      <c r="O40" s="10"/>
      <c r="P40" s="10"/>
      <c r="Q40" s="7" t="str">
        <f aca="false">IF(OR(O40="",P40=""),"",IF(O40=P40,"Sí","No"))</f>
        <v/>
      </c>
      <c r="R40" s="10"/>
      <c r="S40" s="8"/>
      <c r="T40" s="8"/>
    </row>
    <row r="41" customFormat="false" ht="15" hidden="false" customHeight="false" outlineLevel="0" collapsed="false">
      <c r="A41" s="7" t="s">
        <v>117</v>
      </c>
      <c r="B41" s="10"/>
      <c r="C41" s="8"/>
      <c r="D41" s="9"/>
      <c r="E41" s="13" t="str">
        <f aca="false">IF(B41="","",IFERROR(INDEX(Iniciativas!$J$2:$J$11,MATCH(B41,Iniciativas!$B$2:$B$11,0)),""))</f>
        <v/>
      </c>
      <c r="F41" s="7" t="str">
        <f aca="false">IF(OR(NOT(ISNUMBER(D41)),NOT(ISNUMBER(E41))),"",IF(D41&gt;E41,"Sí","No"))</f>
        <v/>
      </c>
      <c r="G41" s="10"/>
      <c r="H41" s="10"/>
      <c r="I41" s="10"/>
      <c r="J41" s="8"/>
      <c r="K41" s="7" t="str">
        <f aca="false">IF(OR(F41="",I41=""),"",IF(AND(F41="Sí",I41="Sí"),"Sí","No"))</f>
        <v/>
      </c>
      <c r="L41" s="10"/>
      <c r="M41" s="10"/>
      <c r="N41" s="8"/>
      <c r="O41" s="10"/>
      <c r="P41" s="10"/>
      <c r="Q41" s="7" t="str">
        <f aca="false">IF(OR(O41="",P41=""),"",IF(O41=P41,"Sí","No"))</f>
        <v/>
      </c>
      <c r="R41" s="10"/>
      <c r="S41" s="8"/>
      <c r="T41" s="8"/>
    </row>
    <row r="42" customFormat="false" ht="15" hidden="false" customHeight="false" outlineLevel="0" collapsed="false">
      <c r="A42" s="7" t="s">
        <v>118</v>
      </c>
      <c r="B42" s="10"/>
      <c r="C42" s="8"/>
      <c r="D42" s="9"/>
      <c r="E42" s="13" t="str">
        <f aca="false">IF(B42="","",IFERROR(INDEX(Iniciativas!$J$2:$J$11,MATCH(B42,Iniciativas!$B$2:$B$11,0)),""))</f>
        <v/>
      </c>
      <c r="F42" s="7" t="str">
        <f aca="false">IF(OR(NOT(ISNUMBER(D42)),NOT(ISNUMBER(E42))),"",IF(D42&gt;E42,"Sí","No"))</f>
        <v/>
      </c>
      <c r="G42" s="10"/>
      <c r="H42" s="10"/>
      <c r="I42" s="10"/>
      <c r="J42" s="8"/>
      <c r="K42" s="7" t="str">
        <f aca="false">IF(OR(F42="",I42=""),"",IF(AND(F42="Sí",I42="Sí"),"Sí","No"))</f>
        <v/>
      </c>
      <c r="L42" s="10"/>
      <c r="M42" s="10"/>
      <c r="N42" s="8"/>
      <c r="O42" s="10"/>
      <c r="P42" s="10"/>
      <c r="Q42" s="7" t="str">
        <f aca="false">IF(OR(O42="",P42=""),"",IF(O42=P42,"Sí","No"))</f>
        <v/>
      </c>
      <c r="R42" s="10"/>
      <c r="S42" s="8"/>
      <c r="T42" s="8"/>
    </row>
    <row r="43" customFormat="false" ht="15" hidden="false" customHeight="false" outlineLevel="0" collapsed="false">
      <c r="A43" s="7" t="s">
        <v>119</v>
      </c>
      <c r="B43" s="10"/>
      <c r="C43" s="8"/>
      <c r="D43" s="9"/>
      <c r="E43" s="13" t="str">
        <f aca="false">IF(B43="","",IFERROR(INDEX(Iniciativas!$J$2:$J$11,MATCH(B43,Iniciativas!$B$2:$B$11,0)),""))</f>
        <v/>
      </c>
      <c r="F43" s="7" t="str">
        <f aca="false">IF(OR(NOT(ISNUMBER(D43)),NOT(ISNUMBER(E43))),"",IF(D43&gt;E43,"Sí","No"))</f>
        <v/>
      </c>
      <c r="G43" s="10"/>
      <c r="H43" s="10"/>
      <c r="I43" s="10"/>
      <c r="J43" s="8"/>
      <c r="K43" s="7" t="str">
        <f aca="false">IF(OR(F43="",I43=""),"",IF(AND(F43="Sí",I43="Sí"),"Sí","No"))</f>
        <v/>
      </c>
      <c r="L43" s="10"/>
      <c r="M43" s="10"/>
      <c r="N43" s="8"/>
      <c r="O43" s="10"/>
      <c r="P43" s="10"/>
      <c r="Q43" s="7" t="str">
        <f aca="false">IF(OR(O43="",P43=""),"",IF(O43=P43,"Sí","No"))</f>
        <v/>
      </c>
      <c r="R43" s="10"/>
      <c r="S43" s="8"/>
      <c r="T43" s="8"/>
    </row>
    <row r="44" customFormat="false" ht="15" hidden="false" customHeight="false" outlineLevel="0" collapsed="false">
      <c r="A44" s="7" t="s">
        <v>120</v>
      </c>
      <c r="B44" s="10"/>
      <c r="C44" s="8"/>
      <c r="D44" s="9"/>
      <c r="E44" s="13" t="str">
        <f aca="false">IF(B44="","",IFERROR(INDEX(Iniciativas!$J$2:$J$11,MATCH(B44,Iniciativas!$B$2:$B$11,0)),""))</f>
        <v/>
      </c>
      <c r="F44" s="7" t="str">
        <f aca="false">IF(OR(NOT(ISNUMBER(D44)),NOT(ISNUMBER(E44))),"",IF(D44&gt;E44,"Sí","No"))</f>
        <v/>
      </c>
      <c r="G44" s="10"/>
      <c r="H44" s="10"/>
      <c r="I44" s="10"/>
      <c r="J44" s="8"/>
      <c r="K44" s="7" t="str">
        <f aca="false">IF(OR(F44="",I44=""),"",IF(AND(F44="Sí",I44="Sí"),"Sí","No"))</f>
        <v/>
      </c>
      <c r="L44" s="10"/>
      <c r="M44" s="10"/>
      <c r="N44" s="8"/>
      <c r="O44" s="10"/>
      <c r="P44" s="10"/>
      <c r="Q44" s="7" t="str">
        <f aca="false">IF(OR(O44="",P44=""),"",IF(O44=P44,"Sí","No"))</f>
        <v/>
      </c>
      <c r="R44" s="10"/>
      <c r="S44" s="8"/>
      <c r="T44" s="8"/>
    </row>
    <row r="45" customFormat="false" ht="15" hidden="false" customHeight="false" outlineLevel="0" collapsed="false">
      <c r="A45" s="7" t="s">
        <v>121</v>
      </c>
      <c r="B45" s="10"/>
      <c r="C45" s="8"/>
      <c r="D45" s="9"/>
      <c r="E45" s="13" t="str">
        <f aca="false">IF(B45="","",IFERROR(INDEX(Iniciativas!$J$2:$J$11,MATCH(B45,Iniciativas!$B$2:$B$11,0)),""))</f>
        <v/>
      </c>
      <c r="F45" s="7" t="str">
        <f aca="false">IF(OR(NOT(ISNUMBER(D45)),NOT(ISNUMBER(E45))),"",IF(D45&gt;E45,"Sí","No"))</f>
        <v/>
      </c>
      <c r="G45" s="10"/>
      <c r="H45" s="10"/>
      <c r="I45" s="10"/>
      <c r="J45" s="8"/>
      <c r="K45" s="7" t="str">
        <f aca="false">IF(OR(F45="",I45=""),"",IF(AND(F45="Sí",I45="Sí"),"Sí","No"))</f>
        <v/>
      </c>
      <c r="L45" s="10"/>
      <c r="M45" s="10"/>
      <c r="N45" s="8"/>
      <c r="O45" s="10"/>
      <c r="P45" s="10"/>
      <c r="Q45" s="7" t="str">
        <f aca="false">IF(OR(O45="",P45=""),"",IF(O45=P45,"Sí","No"))</f>
        <v/>
      </c>
      <c r="R45" s="10"/>
      <c r="S45" s="8"/>
      <c r="T45" s="8"/>
    </row>
    <row r="46" customFormat="false" ht="15" hidden="false" customHeight="false" outlineLevel="0" collapsed="false">
      <c r="A46" s="7" t="s">
        <v>122</v>
      </c>
      <c r="B46" s="10"/>
      <c r="C46" s="8"/>
      <c r="D46" s="9"/>
      <c r="E46" s="13" t="str">
        <f aca="false">IF(B46="","",IFERROR(INDEX(Iniciativas!$J$2:$J$11,MATCH(B46,Iniciativas!$B$2:$B$11,0)),""))</f>
        <v/>
      </c>
      <c r="F46" s="7" t="str">
        <f aca="false">IF(OR(NOT(ISNUMBER(D46)),NOT(ISNUMBER(E46))),"",IF(D46&gt;E46,"Sí","No"))</f>
        <v/>
      </c>
      <c r="G46" s="10"/>
      <c r="H46" s="10"/>
      <c r="I46" s="10"/>
      <c r="J46" s="8"/>
      <c r="K46" s="7" t="str">
        <f aca="false">IF(OR(F46="",I46=""),"",IF(AND(F46="Sí",I46="Sí"),"Sí","No"))</f>
        <v/>
      </c>
      <c r="L46" s="10"/>
      <c r="M46" s="10"/>
      <c r="N46" s="8"/>
      <c r="O46" s="10"/>
      <c r="P46" s="10"/>
      <c r="Q46" s="7" t="str">
        <f aca="false">IF(OR(O46="",P46=""),"",IF(O46=P46,"Sí","No"))</f>
        <v/>
      </c>
      <c r="R46" s="10"/>
      <c r="S46" s="8"/>
      <c r="T46" s="8"/>
    </row>
    <row r="47" customFormat="false" ht="15" hidden="false" customHeight="false" outlineLevel="0" collapsed="false">
      <c r="A47" s="7" t="s">
        <v>123</v>
      </c>
      <c r="B47" s="10"/>
      <c r="C47" s="8"/>
      <c r="D47" s="9"/>
      <c r="E47" s="13" t="str">
        <f aca="false">IF(B47="","",IFERROR(INDEX(Iniciativas!$J$2:$J$11,MATCH(B47,Iniciativas!$B$2:$B$11,0)),""))</f>
        <v/>
      </c>
      <c r="F47" s="7" t="str">
        <f aca="false">IF(OR(NOT(ISNUMBER(D47)),NOT(ISNUMBER(E47))),"",IF(D47&gt;E47,"Sí","No"))</f>
        <v/>
      </c>
      <c r="G47" s="10"/>
      <c r="H47" s="10"/>
      <c r="I47" s="10"/>
      <c r="J47" s="8"/>
      <c r="K47" s="7" t="str">
        <f aca="false">IF(OR(F47="",I47=""),"",IF(AND(F47="Sí",I47="Sí"),"Sí","No"))</f>
        <v/>
      </c>
      <c r="L47" s="10"/>
      <c r="M47" s="10"/>
      <c r="N47" s="8"/>
      <c r="O47" s="10"/>
      <c r="P47" s="10"/>
      <c r="Q47" s="7" t="str">
        <f aca="false">IF(OR(O47="",P47=""),"",IF(O47=P47,"Sí","No"))</f>
        <v/>
      </c>
      <c r="R47" s="10"/>
      <c r="S47" s="8"/>
      <c r="T47" s="8"/>
    </row>
    <row r="48" customFormat="false" ht="15" hidden="false" customHeight="false" outlineLevel="0" collapsed="false">
      <c r="A48" s="7" t="s">
        <v>124</v>
      </c>
      <c r="B48" s="10"/>
      <c r="C48" s="8"/>
      <c r="D48" s="9"/>
      <c r="E48" s="13" t="str">
        <f aca="false">IF(B48="","",IFERROR(INDEX(Iniciativas!$J$2:$J$11,MATCH(B48,Iniciativas!$B$2:$B$11,0)),""))</f>
        <v/>
      </c>
      <c r="F48" s="7" t="str">
        <f aca="false">IF(OR(NOT(ISNUMBER(D48)),NOT(ISNUMBER(E48))),"",IF(D48&gt;E48,"Sí","No"))</f>
        <v/>
      </c>
      <c r="G48" s="10"/>
      <c r="H48" s="10"/>
      <c r="I48" s="10"/>
      <c r="J48" s="8"/>
      <c r="K48" s="7" t="str">
        <f aca="false">IF(OR(F48="",I48=""),"",IF(AND(F48="Sí",I48="Sí"),"Sí","No"))</f>
        <v/>
      </c>
      <c r="L48" s="10"/>
      <c r="M48" s="10"/>
      <c r="N48" s="8"/>
      <c r="O48" s="10"/>
      <c r="P48" s="10"/>
      <c r="Q48" s="7" t="str">
        <f aca="false">IF(OR(O48="",P48=""),"",IF(O48=P48,"Sí","No"))</f>
        <v/>
      </c>
      <c r="R48" s="10"/>
      <c r="S48" s="8"/>
      <c r="T48" s="8"/>
    </row>
    <row r="49" customFormat="false" ht="15" hidden="false" customHeight="false" outlineLevel="0" collapsed="false">
      <c r="A49" s="7" t="s">
        <v>125</v>
      </c>
      <c r="B49" s="10"/>
      <c r="C49" s="8"/>
      <c r="D49" s="9"/>
      <c r="E49" s="13" t="str">
        <f aca="false">IF(B49="","",IFERROR(INDEX(Iniciativas!$J$2:$J$11,MATCH(B49,Iniciativas!$B$2:$B$11,0)),""))</f>
        <v/>
      </c>
      <c r="F49" s="7" t="str">
        <f aca="false">IF(OR(NOT(ISNUMBER(D49)),NOT(ISNUMBER(E49))),"",IF(D49&gt;E49,"Sí","No"))</f>
        <v/>
      </c>
      <c r="G49" s="10"/>
      <c r="H49" s="10"/>
      <c r="I49" s="10"/>
      <c r="J49" s="8"/>
      <c r="K49" s="7" t="str">
        <f aca="false">IF(OR(F49="",I49=""),"",IF(AND(F49="Sí",I49="Sí"),"Sí","No"))</f>
        <v/>
      </c>
      <c r="L49" s="10"/>
      <c r="M49" s="10"/>
      <c r="N49" s="8"/>
      <c r="O49" s="10"/>
      <c r="P49" s="10"/>
      <c r="Q49" s="7" t="str">
        <f aca="false">IF(OR(O49="",P49=""),"",IF(O49=P49,"Sí","No"))</f>
        <v/>
      </c>
      <c r="R49" s="10"/>
      <c r="S49" s="8"/>
      <c r="T49" s="8"/>
    </row>
    <row r="50" customFormat="false" ht="15" hidden="false" customHeight="false" outlineLevel="0" collapsed="false">
      <c r="A50" s="7" t="s">
        <v>126</v>
      </c>
      <c r="B50" s="10"/>
      <c r="C50" s="8"/>
      <c r="D50" s="9"/>
      <c r="E50" s="13" t="str">
        <f aca="false">IF(B50="","",IFERROR(INDEX(Iniciativas!$J$2:$J$11,MATCH(B50,Iniciativas!$B$2:$B$11,0)),""))</f>
        <v/>
      </c>
      <c r="F50" s="7" t="str">
        <f aca="false">IF(OR(NOT(ISNUMBER(D50)),NOT(ISNUMBER(E50))),"",IF(D50&gt;E50,"Sí","No"))</f>
        <v/>
      </c>
      <c r="G50" s="10"/>
      <c r="H50" s="10"/>
      <c r="I50" s="10"/>
      <c r="J50" s="8"/>
      <c r="K50" s="7" t="str">
        <f aca="false">IF(OR(F50="",I50=""),"",IF(AND(F50="Sí",I50="Sí"),"Sí","No"))</f>
        <v/>
      </c>
      <c r="L50" s="10"/>
      <c r="M50" s="10"/>
      <c r="N50" s="8"/>
      <c r="O50" s="10"/>
      <c r="P50" s="10"/>
      <c r="Q50" s="7" t="str">
        <f aca="false">IF(OR(O50="",P50=""),"",IF(O50=P50,"Sí","No"))</f>
        <v/>
      </c>
      <c r="R50" s="10"/>
      <c r="S50" s="8"/>
      <c r="T50" s="8"/>
    </row>
    <row r="51" customFormat="false" ht="15" hidden="false" customHeight="false" outlineLevel="0" collapsed="false">
      <c r="A51" s="7" t="s">
        <v>127</v>
      </c>
      <c r="B51" s="10"/>
      <c r="C51" s="8"/>
      <c r="D51" s="9"/>
      <c r="E51" s="13" t="str">
        <f aca="false">IF(B51="","",IFERROR(INDEX(Iniciativas!$J$2:$J$11,MATCH(B51,Iniciativas!$B$2:$B$11,0)),""))</f>
        <v/>
      </c>
      <c r="F51" s="7" t="str">
        <f aca="false">IF(OR(NOT(ISNUMBER(D51)),NOT(ISNUMBER(E51))),"",IF(D51&gt;E51,"Sí","No"))</f>
        <v/>
      </c>
      <c r="G51" s="10"/>
      <c r="H51" s="10"/>
      <c r="I51" s="10"/>
      <c r="J51" s="8"/>
      <c r="K51" s="7" t="str">
        <f aca="false">IF(OR(F51="",I51=""),"",IF(AND(F51="Sí",I51="Sí"),"Sí","No"))</f>
        <v/>
      </c>
      <c r="L51" s="10"/>
      <c r="M51" s="10"/>
      <c r="N51" s="8"/>
      <c r="O51" s="10"/>
      <c r="P51" s="10"/>
      <c r="Q51" s="7" t="str">
        <f aca="false">IF(OR(O51="",P51=""),"",IF(O51=P51,"Sí","No"))</f>
        <v/>
      </c>
      <c r="R51" s="10"/>
      <c r="S51" s="8"/>
      <c r="T51" s="8"/>
    </row>
    <row r="52" customFormat="false" ht="15" hidden="false" customHeight="false" outlineLevel="0" collapsed="false">
      <c r="A52" s="7" t="s">
        <v>128</v>
      </c>
      <c r="B52" s="10"/>
      <c r="C52" s="8"/>
      <c r="D52" s="9"/>
      <c r="E52" s="13" t="str">
        <f aca="false">IF(B52="","",IFERROR(INDEX(Iniciativas!$J$2:$J$11,MATCH(B52,Iniciativas!$B$2:$B$11,0)),""))</f>
        <v/>
      </c>
      <c r="F52" s="7" t="str">
        <f aca="false">IF(OR(NOT(ISNUMBER(D52)),NOT(ISNUMBER(E52))),"",IF(D52&gt;E52,"Sí","No"))</f>
        <v/>
      </c>
      <c r="G52" s="10"/>
      <c r="H52" s="10"/>
      <c r="I52" s="10"/>
      <c r="J52" s="8"/>
      <c r="K52" s="7" t="str">
        <f aca="false">IF(OR(F52="",I52=""),"",IF(AND(F52="Sí",I52="Sí"),"Sí","No"))</f>
        <v/>
      </c>
      <c r="L52" s="10"/>
      <c r="M52" s="10"/>
      <c r="N52" s="8"/>
      <c r="O52" s="10"/>
      <c r="P52" s="10"/>
      <c r="Q52" s="7" t="str">
        <f aca="false">IF(OR(O52="",P52=""),"",IF(O52=P52,"Sí","No"))</f>
        <v/>
      </c>
      <c r="R52" s="10"/>
      <c r="S52" s="8"/>
      <c r="T52" s="8"/>
    </row>
    <row r="53" customFormat="false" ht="15" hidden="false" customHeight="false" outlineLevel="0" collapsed="false">
      <c r="A53" s="7" t="s">
        <v>129</v>
      </c>
      <c r="B53" s="10"/>
      <c r="C53" s="8"/>
      <c r="D53" s="9"/>
      <c r="E53" s="13" t="str">
        <f aca="false">IF(B53="","",IFERROR(INDEX(Iniciativas!$J$2:$J$11,MATCH(B53,Iniciativas!$B$2:$B$11,0)),""))</f>
        <v/>
      </c>
      <c r="F53" s="7" t="str">
        <f aca="false">IF(OR(NOT(ISNUMBER(D53)),NOT(ISNUMBER(E53))),"",IF(D53&gt;E53,"Sí","No"))</f>
        <v/>
      </c>
      <c r="G53" s="10"/>
      <c r="H53" s="10"/>
      <c r="I53" s="10"/>
      <c r="J53" s="8"/>
      <c r="K53" s="7" t="str">
        <f aca="false">IF(OR(F53="",I53=""),"",IF(AND(F53="Sí",I53="Sí"),"Sí","No"))</f>
        <v/>
      </c>
      <c r="L53" s="10"/>
      <c r="M53" s="10"/>
      <c r="N53" s="8"/>
      <c r="O53" s="10"/>
      <c r="P53" s="10"/>
      <c r="Q53" s="7" t="str">
        <f aca="false">IF(OR(O53="",P53=""),"",IF(O53=P53,"Sí","No"))</f>
        <v/>
      </c>
      <c r="R53" s="10"/>
      <c r="S53" s="8"/>
      <c r="T53" s="8"/>
    </row>
    <row r="54" customFormat="false" ht="15" hidden="false" customHeight="false" outlineLevel="0" collapsed="false">
      <c r="A54" s="7" t="s">
        <v>130</v>
      </c>
      <c r="B54" s="10"/>
      <c r="C54" s="8"/>
      <c r="D54" s="9"/>
      <c r="E54" s="13" t="str">
        <f aca="false">IF(B54="","",IFERROR(INDEX(Iniciativas!$J$2:$J$11,MATCH(B54,Iniciativas!$B$2:$B$11,0)),""))</f>
        <v/>
      </c>
      <c r="F54" s="7" t="str">
        <f aca="false">IF(OR(NOT(ISNUMBER(D54)),NOT(ISNUMBER(E54))),"",IF(D54&gt;E54,"Sí","No"))</f>
        <v/>
      </c>
      <c r="G54" s="10"/>
      <c r="H54" s="10"/>
      <c r="I54" s="10"/>
      <c r="J54" s="8"/>
      <c r="K54" s="7" t="str">
        <f aca="false">IF(OR(F54="",I54=""),"",IF(AND(F54="Sí",I54="Sí"),"Sí","No"))</f>
        <v/>
      </c>
      <c r="L54" s="10"/>
      <c r="M54" s="10"/>
      <c r="N54" s="8"/>
      <c r="O54" s="10"/>
      <c r="P54" s="10"/>
      <c r="Q54" s="7" t="str">
        <f aca="false">IF(OR(O54="",P54=""),"",IF(O54=P54,"Sí","No"))</f>
        <v/>
      </c>
      <c r="R54" s="10"/>
      <c r="S54" s="8"/>
      <c r="T54" s="8"/>
    </row>
    <row r="55" customFormat="false" ht="15" hidden="false" customHeight="false" outlineLevel="0" collapsed="false">
      <c r="A55" s="7" t="s">
        <v>131</v>
      </c>
      <c r="B55" s="10"/>
      <c r="C55" s="8"/>
      <c r="D55" s="9"/>
      <c r="E55" s="13" t="str">
        <f aca="false">IF(B55="","",IFERROR(INDEX(Iniciativas!$J$2:$J$11,MATCH(B55,Iniciativas!$B$2:$B$11,0)),""))</f>
        <v/>
      </c>
      <c r="F55" s="7" t="str">
        <f aca="false">IF(OR(NOT(ISNUMBER(D55)),NOT(ISNUMBER(E55))),"",IF(D55&gt;E55,"Sí","No"))</f>
        <v/>
      </c>
      <c r="G55" s="10"/>
      <c r="H55" s="10"/>
      <c r="I55" s="10"/>
      <c r="J55" s="8"/>
      <c r="K55" s="7" t="str">
        <f aca="false">IF(OR(F55="",I55=""),"",IF(AND(F55="Sí",I55="Sí"),"Sí","No"))</f>
        <v/>
      </c>
      <c r="L55" s="10"/>
      <c r="M55" s="10"/>
      <c r="N55" s="8"/>
      <c r="O55" s="10"/>
      <c r="P55" s="10"/>
      <c r="Q55" s="7" t="str">
        <f aca="false">IF(OR(O55="",P55=""),"",IF(O55=P55,"Sí","No"))</f>
        <v/>
      </c>
      <c r="R55" s="10"/>
      <c r="S55" s="8"/>
      <c r="T55" s="8"/>
    </row>
    <row r="56" customFormat="false" ht="15" hidden="false" customHeight="false" outlineLevel="0" collapsed="false">
      <c r="A56" s="7" t="s">
        <v>132</v>
      </c>
      <c r="B56" s="10"/>
      <c r="C56" s="8"/>
      <c r="D56" s="9"/>
      <c r="E56" s="13" t="str">
        <f aca="false">IF(B56="","",IFERROR(INDEX(Iniciativas!$J$2:$J$11,MATCH(B56,Iniciativas!$B$2:$B$11,0)),""))</f>
        <v/>
      </c>
      <c r="F56" s="7" t="str">
        <f aca="false">IF(OR(NOT(ISNUMBER(D56)),NOT(ISNUMBER(E56))),"",IF(D56&gt;E56,"Sí","No"))</f>
        <v/>
      </c>
      <c r="G56" s="10"/>
      <c r="H56" s="10"/>
      <c r="I56" s="10"/>
      <c r="J56" s="8"/>
      <c r="K56" s="7" t="str">
        <f aca="false">IF(OR(F56="",I56=""),"",IF(AND(F56="Sí",I56="Sí"),"Sí","No"))</f>
        <v/>
      </c>
      <c r="L56" s="10"/>
      <c r="M56" s="10"/>
      <c r="N56" s="8"/>
      <c r="O56" s="10"/>
      <c r="P56" s="10"/>
      <c r="Q56" s="7" t="str">
        <f aca="false">IF(OR(O56="",P56=""),"",IF(O56=P56,"Sí","No"))</f>
        <v/>
      </c>
      <c r="R56" s="10"/>
      <c r="S56" s="8"/>
      <c r="T56" s="8"/>
    </row>
    <row r="57" customFormat="false" ht="15" hidden="false" customHeight="false" outlineLevel="0" collapsed="false">
      <c r="A57" s="7" t="s">
        <v>133</v>
      </c>
      <c r="B57" s="10"/>
      <c r="C57" s="8"/>
      <c r="D57" s="9"/>
      <c r="E57" s="13" t="str">
        <f aca="false">IF(B57="","",IFERROR(INDEX(Iniciativas!$J$2:$J$11,MATCH(B57,Iniciativas!$B$2:$B$11,0)),""))</f>
        <v/>
      </c>
      <c r="F57" s="7" t="str">
        <f aca="false">IF(OR(NOT(ISNUMBER(D57)),NOT(ISNUMBER(E57))),"",IF(D57&gt;E57,"Sí","No"))</f>
        <v/>
      </c>
      <c r="G57" s="10"/>
      <c r="H57" s="10"/>
      <c r="I57" s="10"/>
      <c r="J57" s="8"/>
      <c r="K57" s="7" t="str">
        <f aca="false">IF(OR(F57="",I57=""),"",IF(AND(F57="Sí",I57="Sí"),"Sí","No"))</f>
        <v/>
      </c>
      <c r="L57" s="10"/>
      <c r="M57" s="10"/>
      <c r="N57" s="8"/>
      <c r="O57" s="10"/>
      <c r="P57" s="10"/>
      <c r="Q57" s="7" t="str">
        <f aca="false">IF(OR(O57="",P57=""),"",IF(O57=P57,"Sí","No"))</f>
        <v/>
      </c>
      <c r="R57" s="10"/>
      <c r="S57" s="8"/>
      <c r="T57" s="8"/>
    </row>
    <row r="58" customFormat="false" ht="15" hidden="false" customHeight="false" outlineLevel="0" collapsed="false">
      <c r="A58" s="7" t="s">
        <v>134</v>
      </c>
      <c r="B58" s="10"/>
      <c r="C58" s="8"/>
      <c r="D58" s="9"/>
      <c r="E58" s="13" t="str">
        <f aca="false">IF(B58="","",IFERROR(INDEX(Iniciativas!$J$2:$J$11,MATCH(B58,Iniciativas!$B$2:$B$11,0)),""))</f>
        <v/>
      </c>
      <c r="F58" s="7" t="str">
        <f aca="false">IF(OR(NOT(ISNUMBER(D58)),NOT(ISNUMBER(E58))),"",IF(D58&gt;E58,"Sí","No"))</f>
        <v/>
      </c>
      <c r="G58" s="10"/>
      <c r="H58" s="10"/>
      <c r="I58" s="10"/>
      <c r="J58" s="8"/>
      <c r="K58" s="7" t="str">
        <f aca="false">IF(OR(F58="",I58=""),"",IF(AND(F58="Sí",I58="Sí"),"Sí","No"))</f>
        <v/>
      </c>
      <c r="L58" s="10"/>
      <c r="M58" s="10"/>
      <c r="N58" s="8"/>
      <c r="O58" s="10"/>
      <c r="P58" s="10"/>
      <c r="Q58" s="7" t="str">
        <f aca="false">IF(OR(O58="",P58=""),"",IF(O58=P58,"Sí","No"))</f>
        <v/>
      </c>
      <c r="R58" s="10"/>
      <c r="S58" s="8"/>
      <c r="T58" s="8"/>
    </row>
    <row r="59" customFormat="false" ht="15" hidden="false" customHeight="false" outlineLevel="0" collapsed="false">
      <c r="A59" s="7" t="s">
        <v>135</v>
      </c>
      <c r="B59" s="10"/>
      <c r="C59" s="8"/>
      <c r="D59" s="9"/>
      <c r="E59" s="13" t="str">
        <f aca="false">IF(B59="","",IFERROR(INDEX(Iniciativas!$J$2:$J$11,MATCH(B59,Iniciativas!$B$2:$B$11,0)),""))</f>
        <v/>
      </c>
      <c r="F59" s="7" t="str">
        <f aca="false">IF(OR(NOT(ISNUMBER(D59)),NOT(ISNUMBER(E59))),"",IF(D59&gt;E59,"Sí","No"))</f>
        <v/>
      </c>
      <c r="G59" s="10"/>
      <c r="H59" s="10"/>
      <c r="I59" s="10"/>
      <c r="J59" s="8"/>
      <c r="K59" s="7" t="str">
        <f aca="false">IF(OR(F59="",I59=""),"",IF(AND(F59="Sí",I59="Sí"),"Sí","No"))</f>
        <v/>
      </c>
      <c r="L59" s="10"/>
      <c r="M59" s="10"/>
      <c r="N59" s="8"/>
      <c r="O59" s="10"/>
      <c r="P59" s="10"/>
      <c r="Q59" s="7" t="str">
        <f aca="false">IF(OR(O59="",P59=""),"",IF(O59=P59,"Sí","No"))</f>
        <v/>
      </c>
      <c r="R59" s="10"/>
      <c r="S59" s="8"/>
      <c r="T59" s="8"/>
    </row>
    <row r="60" customFormat="false" ht="15" hidden="false" customHeight="false" outlineLevel="0" collapsed="false">
      <c r="A60" s="7" t="s">
        <v>136</v>
      </c>
      <c r="B60" s="10"/>
      <c r="C60" s="8"/>
      <c r="D60" s="9"/>
      <c r="E60" s="13" t="str">
        <f aca="false">IF(B60="","",IFERROR(INDEX(Iniciativas!$J$2:$J$11,MATCH(B60,Iniciativas!$B$2:$B$11,0)),""))</f>
        <v/>
      </c>
      <c r="F60" s="7" t="str">
        <f aca="false">IF(OR(NOT(ISNUMBER(D60)),NOT(ISNUMBER(E60))),"",IF(D60&gt;E60,"Sí","No"))</f>
        <v/>
      </c>
      <c r="G60" s="10"/>
      <c r="H60" s="10"/>
      <c r="I60" s="10"/>
      <c r="J60" s="8"/>
      <c r="K60" s="7" t="str">
        <f aca="false">IF(OR(F60="",I60=""),"",IF(AND(F60="Sí",I60="Sí"),"Sí","No"))</f>
        <v/>
      </c>
      <c r="L60" s="10"/>
      <c r="M60" s="10"/>
      <c r="N60" s="8"/>
      <c r="O60" s="10"/>
      <c r="P60" s="10"/>
      <c r="Q60" s="7" t="str">
        <f aca="false">IF(OR(O60="",P60=""),"",IF(O60=P60,"Sí","No"))</f>
        <v/>
      </c>
      <c r="R60" s="10"/>
      <c r="S60" s="8"/>
      <c r="T60" s="8"/>
    </row>
    <row r="61" customFormat="false" ht="15" hidden="false" customHeight="false" outlineLevel="0" collapsed="false">
      <c r="A61" s="7" t="s">
        <v>137</v>
      </c>
      <c r="B61" s="10"/>
      <c r="C61" s="8"/>
      <c r="D61" s="9"/>
      <c r="E61" s="13" t="str">
        <f aca="false">IF(B61="","",IFERROR(INDEX(Iniciativas!$J$2:$J$11,MATCH(B61,Iniciativas!$B$2:$B$11,0)),""))</f>
        <v/>
      </c>
      <c r="F61" s="7" t="str">
        <f aca="false">IF(OR(NOT(ISNUMBER(D61)),NOT(ISNUMBER(E61))),"",IF(D61&gt;E61,"Sí","No"))</f>
        <v/>
      </c>
      <c r="G61" s="10"/>
      <c r="H61" s="10"/>
      <c r="I61" s="10"/>
      <c r="J61" s="8"/>
      <c r="K61" s="7" t="str">
        <f aca="false">IF(OR(F61="",I61=""),"",IF(AND(F61="Sí",I61="Sí"),"Sí","No"))</f>
        <v/>
      </c>
      <c r="L61" s="10"/>
      <c r="M61" s="10"/>
      <c r="N61" s="8"/>
      <c r="O61" s="10"/>
      <c r="P61" s="10"/>
      <c r="Q61" s="7" t="str">
        <f aca="false">IF(OR(O61="",P61=""),"",IF(O61=P61,"Sí","No"))</f>
        <v/>
      </c>
      <c r="R61" s="10"/>
      <c r="S61" s="8"/>
      <c r="T61" s="8"/>
    </row>
    <row r="62" customFormat="false" ht="15" hidden="false" customHeight="false" outlineLevel="0" collapsed="false">
      <c r="A62" s="7" t="s">
        <v>138</v>
      </c>
      <c r="B62" s="10"/>
      <c r="C62" s="8"/>
      <c r="D62" s="9"/>
      <c r="E62" s="13" t="str">
        <f aca="false">IF(B62="","",IFERROR(INDEX(Iniciativas!$J$2:$J$11,MATCH(B62,Iniciativas!$B$2:$B$11,0)),""))</f>
        <v/>
      </c>
      <c r="F62" s="7" t="str">
        <f aca="false">IF(OR(NOT(ISNUMBER(D62)),NOT(ISNUMBER(E62))),"",IF(D62&gt;E62,"Sí","No"))</f>
        <v/>
      </c>
      <c r="G62" s="10"/>
      <c r="H62" s="10"/>
      <c r="I62" s="10"/>
      <c r="J62" s="8"/>
      <c r="K62" s="7" t="str">
        <f aca="false">IF(OR(F62="",I62=""),"",IF(AND(F62="Sí",I62="Sí"),"Sí","No"))</f>
        <v/>
      </c>
      <c r="L62" s="10"/>
      <c r="M62" s="10"/>
      <c r="N62" s="8"/>
      <c r="O62" s="10"/>
      <c r="P62" s="10"/>
      <c r="Q62" s="7" t="str">
        <f aca="false">IF(OR(O62="",P62=""),"",IF(O62=P62,"Sí","No"))</f>
        <v/>
      </c>
      <c r="R62" s="10"/>
      <c r="S62" s="8"/>
      <c r="T62" s="8"/>
    </row>
    <row r="63" customFormat="false" ht="15" hidden="false" customHeight="false" outlineLevel="0" collapsed="false">
      <c r="A63" s="7" t="s">
        <v>139</v>
      </c>
      <c r="B63" s="10"/>
      <c r="C63" s="8"/>
      <c r="D63" s="9"/>
      <c r="E63" s="13" t="str">
        <f aca="false">IF(B63="","",IFERROR(INDEX(Iniciativas!$J$2:$J$11,MATCH(B63,Iniciativas!$B$2:$B$11,0)),""))</f>
        <v/>
      </c>
      <c r="F63" s="7" t="str">
        <f aca="false">IF(OR(NOT(ISNUMBER(D63)),NOT(ISNUMBER(E63))),"",IF(D63&gt;E63,"Sí","No"))</f>
        <v/>
      </c>
      <c r="G63" s="10"/>
      <c r="H63" s="10"/>
      <c r="I63" s="10"/>
      <c r="J63" s="8"/>
      <c r="K63" s="7" t="str">
        <f aca="false">IF(OR(F63="",I63=""),"",IF(AND(F63="Sí",I63="Sí"),"Sí","No"))</f>
        <v/>
      </c>
      <c r="L63" s="10"/>
      <c r="M63" s="10"/>
      <c r="N63" s="8"/>
      <c r="O63" s="10"/>
      <c r="P63" s="10"/>
      <c r="Q63" s="7" t="str">
        <f aca="false">IF(OR(O63="",P63=""),"",IF(O63=P63,"Sí","No"))</f>
        <v/>
      </c>
      <c r="R63" s="10"/>
      <c r="S63" s="8"/>
      <c r="T63" s="8"/>
    </row>
    <row r="64" customFormat="false" ht="15" hidden="false" customHeight="false" outlineLevel="0" collapsed="false">
      <c r="A64" s="7" t="s">
        <v>140</v>
      </c>
      <c r="B64" s="10"/>
      <c r="C64" s="8"/>
      <c r="D64" s="9"/>
      <c r="E64" s="13" t="str">
        <f aca="false">IF(B64="","",IFERROR(INDEX(Iniciativas!$J$2:$J$11,MATCH(B64,Iniciativas!$B$2:$B$11,0)),""))</f>
        <v/>
      </c>
      <c r="F64" s="7" t="str">
        <f aca="false">IF(OR(NOT(ISNUMBER(D64)),NOT(ISNUMBER(E64))),"",IF(D64&gt;E64,"Sí","No"))</f>
        <v/>
      </c>
      <c r="G64" s="10"/>
      <c r="H64" s="10"/>
      <c r="I64" s="10"/>
      <c r="J64" s="8"/>
      <c r="K64" s="7" t="str">
        <f aca="false">IF(OR(F64="",I64=""),"",IF(AND(F64="Sí",I64="Sí"),"Sí","No"))</f>
        <v/>
      </c>
      <c r="L64" s="10"/>
      <c r="M64" s="10"/>
      <c r="N64" s="8"/>
      <c r="O64" s="10"/>
      <c r="P64" s="10"/>
      <c r="Q64" s="7" t="str">
        <f aca="false">IF(OR(O64="",P64=""),"",IF(O64=P64,"Sí","No"))</f>
        <v/>
      </c>
      <c r="R64" s="10"/>
      <c r="S64" s="8"/>
      <c r="T64" s="8"/>
    </row>
    <row r="65" customFormat="false" ht="15" hidden="false" customHeight="false" outlineLevel="0" collapsed="false">
      <c r="A65" s="7" t="s">
        <v>141</v>
      </c>
      <c r="B65" s="10"/>
      <c r="C65" s="8"/>
      <c r="D65" s="9"/>
      <c r="E65" s="13" t="str">
        <f aca="false">IF(B65="","",IFERROR(INDEX(Iniciativas!$J$2:$J$11,MATCH(B65,Iniciativas!$B$2:$B$11,0)),""))</f>
        <v/>
      </c>
      <c r="F65" s="7" t="str">
        <f aca="false">IF(OR(NOT(ISNUMBER(D65)),NOT(ISNUMBER(E65))),"",IF(D65&gt;E65,"Sí","No"))</f>
        <v/>
      </c>
      <c r="G65" s="10"/>
      <c r="H65" s="10"/>
      <c r="I65" s="10"/>
      <c r="J65" s="8"/>
      <c r="K65" s="7" t="str">
        <f aca="false">IF(OR(F65="",I65=""),"",IF(AND(F65="Sí",I65="Sí"),"Sí","No"))</f>
        <v/>
      </c>
      <c r="L65" s="10"/>
      <c r="M65" s="10"/>
      <c r="N65" s="8"/>
      <c r="O65" s="10"/>
      <c r="P65" s="10"/>
      <c r="Q65" s="7" t="str">
        <f aca="false">IF(OR(O65="",P65=""),"",IF(O65=P65,"Sí","No"))</f>
        <v/>
      </c>
      <c r="R65" s="10"/>
      <c r="S65" s="8"/>
      <c r="T65" s="8"/>
    </row>
    <row r="66" customFormat="false" ht="15" hidden="false" customHeight="false" outlineLevel="0" collapsed="false">
      <c r="A66" s="7" t="s">
        <v>142</v>
      </c>
      <c r="B66" s="10"/>
      <c r="C66" s="8"/>
      <c r="D66" s="9"/>
      <c r="E66" s="13" t="str">
        <f aca="false">IF(B66="","",IFERROR(INDEX(Iniciativas!$J$2:$J$11,MATCH(B66,Iniciativas!$B$2:$B$11,0)),""))</f>
        <v/>
      </c>
      <c r="F66" s="7" t="str">
        <f aca="false">IF(OR(NOT(ISNUMBER(D66)),NOT(ISNUMBER(E66))),"",IF(D66&gt;E66,"Sí","No"))</f>
        <v/>
      </c>
      <c r="G66" s="10"/>
      <c r="H66" s="10"/>
      <c r="I66" s="10"/>
      <c r="J66" s="8"/>
      <c r="K66" s="7" t="str">
        <f aca="false">IF(OR(F66="",I66=""),"",IF(AND(F66="Sí",I66="Sí"),"Sí","No"))</f>
        <v/>
      </c>
      <c r="L66" s="10"/>
      <c r="M66" s="10"/>
      <c r="N66" s="8"/>
      <c r="O66" s="10"/>
      <c r="P66" s="10"/>
      <c r="Q66" s="7" t="str">
        <f aca="false">IF(OR(O66="",P66=""),"",IF(O66=P66,"Sí","No"))</f>
        <v/>
      </c>
      <c r="R66" s="10"/>
      <c r="S66" s="8"/>
      <c r="T66" s="8"/>
    </row>
    <row r="67" customFormat="false" ht="15" hidden="false" customHeight="false" outlineLevel="0" collapsed="false">
      <c r="A67" s="7" t="s">
        <v>143</v>
      </c>
      <c r="B67" s="10"/>
      <c r="C67" s="8"/>
      <c r="D67" s="9"/>
      <c r="E67" s="13" t="str">
        <f aca="false">IF(B67="","",IFERROR(INDEX(Iniciativas!$J$2:$J$11,MATCH(B67,Iniciativas!$B$2:$B$11,0)),""))</f>
        <v/>
      </c>
      <c r="F67" s="7" t="str">
        <f aca="false">IF(OR(NOT(ISNUMBER(D67)),NOT(ISNUMBER(E67))),"",IF(D67&gt;E67,"Sí","No"))</f>
        <v/>
      </c>
      <c r="G67" s="10"/>
      <c r="H67" s="10"/>
      <c r="I67" s="10"/>
      <c r="J67" s="8"/>
      <c r="K67" s="7" t="str">
        <f aca="false">IF(OR(F67="",I67=""),"",IF(AND(F67="Sí",I67="Sí"),"Sí","No"))</f>
        <v/>
      </c>
      <c r="L67" s="10"/>
      <c r="M67" s="10"/>
      <c r="N67" s="8"/>
      <c r="O67" s="10"/>
      <c r="P67" s="10"/>
      <c r="Q67" s="7" t="str">
        <f aca="false">IF(OR(O67="",P67=""),"",IF(O67=P67,"Sí","No"))</f>
        <v/>
      </c>
      <c r="R67" s="10"/>
      <c r="S67" s="8"/>
      <c r="T67" s="8"/>
    </row>
    <row r="68" customFormat="false" ht="15" hidden="false" customHeight="false" outlineLevel="0" collapsed="false">
      <c r="A68" s="7" t="s">
        <v>144</v>
      </c>
      <c r="B68" s="10"/>
      <c r="C68" s="8"/>
      <c r="D68" s="9"/>
      <c r="E68" s="13" t="str">
        <f aca="false">IF(B68="","",IFERROR(INDEX(Iniciativas!$J$2:$J$11,MATCH(B68,Iniciativas!$B$2:$B$11,0)),""))</f>
        <v/>
      </c>
      <c r="F68" s="7" t="str">
        <f aca="false">IF(OR(NOT(ISNUMBER(D68)),NOT(ISNUMBER(E68))),"",IF(D68&gt;E68,"Sí","No"))</f>
        <v/>
      </c>
      <c r="G68" s="10"/>
      <c r="H68" s="10"/>
      <c r="I68" s="10"/>
      <c r="J68" s="8"/>
      <c r="K68" s="7" t="str">
        <f aca="false">IF(OR(F68="",I68=""),"",IF(AND(F68="Sí",I68="Sí"),"Sí","No"))</f>
        <v/>
      </c>
      <c r="L68" s="10"/>
      <c r="M68" s="10"/>
      <c r="N68" s="8"/>
      <c r="O68" s="10"/>
      <c r="P68" s="10"/>
      <c r="Q68" s="7" t="str">
        <f aca="false">IF(OR(O68="",P68=""),"",IF(O68=P68,"Sí","No"))</f>
        <v/>
      </c>
      <c r="R68" s="10"/>
      <c r="S68" s="8"/>
      <c r="T68" s="8"/>
    </row>
    <row r="69" customFormat="false" ht="15" hidden="false" customHeight="false" outlineLevel="0" collapsed="false">
      <c r="A69" s="7" t="s">
        <v>145</v>
      </c>
      <c r="B69" s="10"/>
      <c r="C69" s="8"/>
      <c r="D69" s="9"/>
      <c r="E69" s="13" t="str">
        <f aca="false">IF(B69="","",IFERROR(INDEX(Iniciativas!$J$2:$J$11,MATCH(B69,Iniciativas!$B$2:$B$11,0)),""))</f>
        <v/>
      </c>
      <c r="F69" s="7" t="str">
        <f aca="false">IF(OR(NOT(ISNUMBER(D69)),NOT(ISNUMBER(E69))),"",IF(D69&gt;E69,"Sí","No"))</f>
        <v/>
      </c>
      <c r="G69" s="10"/>
      <c r="H69" s="10"/>
      <c r="I69" s="10"/>
      <c r="J69" s="8"/>
      <c r="K69" s="7" t="str">
        <f aca="false">IF(OR(F69="",I69=""),"",IF(AND(F69="Sí",I69="Sí"),"Sí","No"))</f>
        <v/>
      </c>
      <c r="L69" s="10"/>
      <c r="M69" s="10"/>
      <c r="N69" s="8"/>
      <c r="O69" s="10"/>
      <c r="P69" s="10"/>
      <c r="Q69" s="7" t="str">
        <f aca="false">IF(OR(O69="",P69=""),"",IF(O69=P69,"Sí","No"))</f>
        <v/>
      </c>
      <c r="R69" s="10"/>
      <c r="S69" s="8"/>
      <c r="T69" s="8"/>
    </row>
    <row r="70" customFormat="false" ht="15" hidden="false" customHeight="false" outlineLevel="0" collapsed="false">
      <c r="A70" s="7" t="s">
        <v>146</v>
      </c>
      <c r="B70" s="10"/>
      <c r="C70" s="8"/>
      <c r="D70" s="9"/>
      <c r="E70" s="13" t="str">
        <f aca="false">IF(B70="","",IFERROR(INDEX(Iniciativas!$J$2:$J$11,MATCH(B70,Iniciativas!$B$2:$B$11,0)),""))</f>
        <v/>
      </c>
      <c r="F70" s="7" t="str">
        <f aca="false">IF(OR(NOT(ISNUMBER(D70)),NOT(ISNUMBER(E70))),"",IF(D70&gt;E70,"Sí","No"))</f>
        <v/>
      </c>
      <c r="G70" s="10"/>
      <c r="H70" s="10"/>
      <c r="I70" s="10"/>
      <c r="J70" s="8"/>
      <c r="K70" s="7" t="str">
        <f aca="false">IF(OR(F70="",I70=""),"",IF(AND(F70="Sí",I70="Sí"),"Sí","No"))</f>
        <v/>
      </c>
      <c r="L70" s="10"/>
      <c r="M70" s="10"/>
      <c r="N70" s="8"/>
      <c r="O70" s="10"/>
      <c r="P70" s="10"/>
      <c r="Q70" s="7" t="str">
        <f aca="false">IF(OR(O70="",P70=""),"",IF(O70=P70,"Sí","No"))</f>
        <v/>
      </c>
      <c r="R70" s="10"/>
      <c r="S70" s="8"/>
      <c r="T70" s="8"/>
    </row>
    <row r="71" customFormat="false" ht="15" hidden="false" customHeight="false" outlineLevel="0" collapsed="false">
      <c r="A71" s="7" t="s">
        <v>147</v>
      </c>
      <c r="B71" s="10"/>
      <c r="C71" s="8"/>
      <c r="D71" s="9"/>
      <c r="E71" s="13" t="str">
        <f aca="false">IF(B71="","",IFERROR(INDEX(Iniciativas!$J$2:$J$11,MATCH(B71,Iniciativas!$B$2:$B$11,0)),""))</f>
        <v/>
      </c>
      <c r="F71" s="7" t="str">
        <f aca="false">IF(OR(NOT(ISNUMBER(D71)),NOT(ISNUMBER(E71))),"",IF(D71&gt;E71,"Sí","No"))</f>
        <v/>
      </c>
      <c r="G71" s="10"/>
      <c r="H71" s="10"/>
      <c r="I71" s="10"/>
      <c r="J71" s="8"/>
      <c r="K71" s="7" t="str">
        <f aca="false">IF(OR(F71="",I71=""),"",IF(AND(F71="Sí",I71="Sí"),"Sí","No"))</f>
        <v/>
      </c>
      <c r="L71" s="10"/>
      <c r="M71" s="10"/>
      <c r="N71" s="8"/>
      <c r="O71" s="10"/>
      <c r="P71" s="10"/>
      <c r="Q71" s="7" t="str">
        <f aca="false">IF(OR(O71="",P71=""),"",IF(O71=P71,"Sí","No"))</f>
        <v/>
      </c>
      <c r="R71" s="10"/>
      <c r="S71" s="8"/>
      <c r="T71" s="8"/>
    </row>
    <row r="72" customFormat="false" ht="15" hidden="false" customHeight="false" outlineLevel="0" collapsed="false">
      <c r="A72" s="7" t="s">
        <v>148</v>
      </c>
      <c r="B72" s="10"/>
      <c r="C72" s="8"/>
      <c r="D72" s="9"/>
      <c r="E72" s="13" t="str">
        <f aca="false">IF(B72="","",IFERROR(INDEX(Iniciativas!$J$2:$J$11,MATCH(B72,Iniciativas!$B$2:$B$11,0)),""))</f>
        <v/>
      </c>
      <c r="F72" s="7" t="str">
        <f aca="false">IF(OR(NOT(ISNUMBER(D72)),NOT(ISNUMBER(E72))),"",IF(D72&gt;E72,"Sí","No"))</f>
        <v/>
      </c>
      <c r="G72" s="10"/>
      <c r="H72" s="10"/>
      <c r="I72" s="10"/>
      <c r="J72" s="8"/>
      <c r="K72" s="7" t="str">
        <f aca="false">IF(OR(F72="",I72=""),"",IF(AND(F72="Sí",I72="Sí"),"Sí","No"))</f>
        <v/>
      </c>
      <c r="L72" s="10"/>
      <c r="M72" s="10"/>
      <c r="N72" s="8"/>
      <c r="O72" s="10"/>
      <c r="P72" s="10"/>
      <c r="Q72" s="7" t="str">
        <f aca="false">IF(OR(O72="",P72=""),"",IF(O72=P72,"Sí","No"))</f>
        <v/>
      </c>
      <c r="R72" s="10"/>
      <c r="S72" s="8"/>
      <c r="T72" s="8"/>
    </row>
    <row r="73" customFormat="false" ht="15" hidden="false" customHeight="false" outlineLevel="0" collapsed="false">
      <c r="A73" s="7" t="s">
        <v>149</v>
      </c>
      <c r="B73" s="10"/>
      <c r="C73" s="8"/>
      <c r="D73" s="9"/>
      <c r="E73" s="13" t="str">
        <f aca="false">IF(B73="","",IFERROR(INDEX(Iniciativas!$J$2:$J$11,MATCH(B73,Iniciativas!$B$2:$B$11,0)),""))</f>
        <v/>
      </c>
      <c r="F73" s="7" t="str">
        <f aca="false">IF(OR(NOT(ISNUMBER(D73)),NOT(ISNUMBER(E73))),"",IF(D73&gt;E73,"Sí","No"))</f>
        <v/>
      </c>
      <c r="G73" s="10"/>
      <c r="H73" s="10"/>
      <c r="I73" s="10"/>
      <c r="J73" s="8"/>
      <c r="K73" s="7" t="str">
        <f aca="false">IF(OR(F73="",I73=""),"",IF(AND(F73="Sí",I73="Sí"),"Sí","No"))</f>
        <v/>
      </c>
      <c r="L73" s="10"/>
      <c r="M73" s="10"/>
      <c r="N73" s="8"/>
      <c r="O73" s="10"/>
      <c r="P73" s="10"/>
      <c r="Q73" s="7" t="str">
        <f aca="false">IF(OR(O73="",P73=""),"",IF(O73=P73,"Sí","No"))</f>
        <v/>
      </c>
      <c r="R73" s="10"/>
      <c r="S73" s="8"/>
      <c r="T73" s="8"/>
    </row>
    <row r="74" customFormat="false" ht="15" hidden="false" customHeight="false" outlineLevel="0" collapsed="false">
      <c r="A74" s="7" t="s">
        <v>150</v>
      </c>
      <c r="B74" s="10"/>
      <c r="C74" s="8"/>
      <c r="D74" s="9"/>
      <c r="E74" s="13" t="str">
        <f aca="false">IF(B74="","",IFERROR(INDEX(Iniciativas!$J$2:$J$11,MATCH(B74,Iniciativas!$B$2:$B$11,0)),""))</f>
        <v/>
      </c>
      <c r="F74" s="7" t="str">
        <f aca="false">IF(OR(NOT(ISNUMBER(D74)),NOT(ISNUMBER(E74))),"",IF(D74&gt;E74,"Sí","No"))</f>
        <v/>
      </c>
      <c r="G74" s="10"/>
      <c r="H74" s="10"/>
      <c r="I74" s="10"/>
      <c r="J74" s="8"/>
      <c r="K74" s="7" t="str">
        <f aca="false">IF(OR(F74="",I74=""),"",IF(AND(F74="Sí",I74="Sí"),"Sí","No"))</f>
        <v/>
      </c>
      <c r="L74" s="10"/>
      <c r="M74" s="10"/>
      <c r="N74" s="8"/>
      <c r="O74" s="10"/>
      <c r="P74" s="10"/>
      <c r="Q74" s="7" t="str">
        <f aca="false">IF(OR(O74="",P74=""),"",IF(O74=P74,"Sí","No"))</f>
        <v/>
      </c>
      <c r="R74" s="10"/>
      <c r="S74" s="8"/>
      <c r="T74" s="8"/>
    </row>
    <row r="75" customFormat="false" ht="15" hidden="false" customHeight="false" outlineLevel="0" collapsed="false">
      <c r="A75" s="7" t="s">
        <v>151</v>
      </c>
      <c r="B75" s="10"/>
      <c r="C75" s="8"/>
      <c r="D75" s="9"/>
      <c r="E75" s="13" t="str">
        <f aca="false">IF(B75="","",IFERROR(INDEX(Iniciativas!$J$2:$J$11,MATCH(B75,Iniciativas!$B$2:$B$11,0)),""))</f>
        <v/>
      </c>
      <c r="F75" s="7" t="str">
        <f aca="false">IF(OR(NOT(ISNUMBER(D75)),NOT(ISNUMBER(E75))),"",IF(D75&gt;E75,"Sí","No"))</f>
        <v/>
      </c>
      <c r="G75" s="10"/>
      <c r="H75" s="10"/>
      <c r="I75" s="10"/>
      <c r="J75" s="8"/>
      <c r="K75" s="7" t="str">
        <f aca="false">IF(OR(F75="",I75=""),"",IF(AND(F75="Sí",I75="Sí"),"Sí","No"))</f>
        <v/>
      </c>
      <c r="L75" s="10"/>
      <c r="M75" s="10"/>
      <c r="N75" s="8"/>
      <c r="O75" s="10"/>
      <c r="P75" s="10"/>
      <c r="Q75" s="7" t="str">
        <f aca="false">IF(OR(O75="",P75=""),"",IF(O75=P75,"Sí","No"))</f>
        <v/>
      </c>
      <c r="R75" s="10"/>
      <c r="S75" s="8"/>
      <c r="T75" s="8"/>
    </row>
    <row r="76" customFormat="false" ht="15" hidden="false" customHeight="false" outlineLevel="0" collapsed="false">
      <c r="A76" s="7" t="s">
        <v>152</v>
      </c>
      <c r="B76" s="10"/>
      <c r="C76" s="8"/>
      <c r="D76" s="9"/>
      <c r="E76" s="13" t="str">
        <f aca="false">IF(B76="","",IFERROR(INDEX(Iniciativas!$J$2:$J$11,MATCH(B76,Iniciativas!$B$2:$B$11,0)),""))</f>
        <v/>
      </c>
      <c r="F76" s="7" t="str">
        <f aca="false">IF(OR(NOT(ISNUMBER(D76)),NOT(ISNUMBER(E76))),"",IF(D76&gt;E76,"Sí","No"))</f>
        <v/>
      </c>
      <c r="G76" s="10"/>
      <c r="H76" s="10"/>
      <c r="I76" s="10"/>
      <c r="J76" s="8"/>
      <c r="K76" s="7" t="str">
        <f aca="false">IF(OR(F76="",I76=""),"",IF(AND(F76="Sí",I76="Sí"),"Sí","No"))</f>
        <v/>
      </c>
      <c r="L76" s="10"/>
      <c r="M76" s="10"/>
      <c r="N76" s="8"/>
      <c r="O76" s="10"/>
      <c r="P76" s="10"/>
      <c r="Q76" s="7" t="str">
        <f aca="false">IF(OR(O76="",P76=""),"",IF(O76=P76,"Sí","No"))</f>
        <v/>
      </c>
      <c r="R76" s="10"/>
      <c r="S76" s="8"/>
      <c r="T76" s="8"/>
    </row>
    <row r="77" customFormat="false" ht="15" hidden="false" customHeight="false" outlineLevel="0" collapsed="false">
      <c r="A77" s="7" t="s">
        <v>153</v>
      </c>
      <c r="B77" s="10"/>
      <c r="C77" s="8"/>
      <c r="D77" s="9"/>
      <c r="E77" s="13" t="str">
        <f aca="false">IF(B77="","",IFERROR(INDEX(Iniciativas!$J$2:$J$11,MATCH(B77,Iniciativas!$B$2:$B$11,0)),""))</f>
        <v/>
      </c>
      <c r="F77" s="7" t="str">
        <f aca="false">IF(OR(NOT(ISNUMBER(D77)),NOT(ISNUMBER(E77))),"",IF(D77&gt;E77,"Sí","No"))</f>
        <v/>
      </c>
      <c r="G77" s="10"/>
      <c r="H77" s="10"/>
      <c r="I77" s="10"/>
      <c r="J77" s="8"/>
      <c r="K77" s="7" t="str">
        <f aca="false">IF(OR(F77="",I77=""),"",IF(AND(F77="Sí",I77="Sí"),"Sí","No"))</f>
        <v/>
      </c>
      <c r="L77" s="10"/>
      <c r="M77" s="10"/>
      <c r="N77" s="8"/>
      <c r="O77" s="10"/>
      <c r="P77" s="10"/>
      <c r="Q77" s="7" t="str">
        <f aca="false">IF(OR(O77="",P77=""),"",IF(O77=P77,"Sí","No"))</f>
        <v/>
      </c>
      <c r="R77" s="10"/>
      <c r="S77" s="8"/>
      <c r="T77" s="8"/>
    </row>
    <row r="78" customFormat="false" ht="15" hidden="false" customHeight="false" outlineLevel="0" collapsed="false">
      <c r="A78" s="7" t="s">
        <v>154</v>
      </c>
      <c r="B78" s="10"/>
      <c r="C78" s="8"/>
      <c r="D78" s="9"/>
      <c r="E78" s="13" t="str">
        <f aca="false">IF(B78="","",IFERROR(INDEX(Iniciativas!$J$2:$J$11,MATCH(B78,Iniciativas!$B$2:$B$11,0)),""))</f>
        <v/>
      </c>
      <c r="F78" s="7" t="str">
        <f aca="false">IF(OR(NOT(ISNUMBER(D78)),NOT(ISNUMBER(E78))),"",IF(D78&gt;E78,"Sí","No"))</f>
        <v/>
      </c>
      <c r="G78" s="10"/>
      <c r="H78" s="10"/>
      <c r="I78" s="10"/>
      <c r="J78" s="8"/>
      <c r="K78" s="7" t="str">
        <f aca="false">IF(OR(F78="",I78=""),"",IF(AND(F78="Sí",I78="Sí"),"Sí","No"))</f>
        <v/>
      </c>
      <c r="L78" s="10"/>
      <c r="M78" s="10"/>
      <c r="N78" s="8"/>
      <c r="O78" s="10"/>
      <c r="P78" s="10"/>
      <c r="Q78" s="7" t="str">
        <f aca="false">IF(OR(O78="",P78=""),"",IF(O78=P78,"Sí","No"))</f>
        <v/>
      </c>
      <c r="R78" s="10"/>
      <c r="S78" s="8"/>
      <c r="T78" s="8"/>
    </row>
    <row r="79" customFormat="false" ht="15" hidden="false" customHeight="false" outlineLevel="0" collapsed="false">
      <c r="A79" s="7" t="s">
        <v>155</v>
      </c>
      <c r="B79" s="10"/>
      <c r="C79" s="8"/>
      <c r="D79" s="9"/>
      <c r="E79" s="13" t="str">
        <f aca="false">IF(B79="","",IFERROR(INDEX(Iniciativas!$J$2:$J$11,MATCH(B79,Iniciativas!$B$2:$B$11,0)),""))</f>
        <v/>
      </c>
      <c r="F79" s="7" t="str">
        <f aca="false">IF(OR(NOT(ISNUMBER(D79)),NOT(ISNUMBER(E79))),"",IF(D79&gt;E79,"Sí","No"))</f>
        <v/>
      </c>
      <c r="G79" s="10"/>
      <c r="H79" s="10"/>
      <c r="I79" s="10"/>
      <c r="J79" s="8"/>
      <c r="K79" s="7" t="str">
        <f aca="false">IF(OR(F79="",I79=""),"",IF(AND(F79="Sí",I79="Sí"),"Sí","No"))</f>
        <v/>
      </c>
      <c r="L79" s="10"/>
      <c r="M79" s="10"/>
      <c r="N79" s="8"/>
      <c r="O79" s="10"/>
      <c r="P79" s="10"/>
      <c r="Q79" s="7" t="str">
        <f aca="false">IF(OR(O79="",P79=""),"",IF(O79=P79,"Sí","No"))</f>
        <v/>
      </c>
      <c r="R79" s="10"/>
      <c r="S79" s="8"/>
      <c r="T79" s="8"/>
    </row>
    <row r="80" customFormat="false" ht="15" hidden="false" customHeight="false" outlineLevel="0" collapsed="false">
      <c r="A80" s="7" t="s">
        <v>156</v>
      </c>
      <c r="B80" s="10"/>
      <c r="C80" s="8"/>
      <c r="D80" s="9"/>
      <c r="E80" s="13" t="str">
        <f aca="false">IF(B80="","",IFERROR(INDEX(Iniciativas!$J$2:$J$11,MATCH(B80,Iniciativas!$B$2:$B$11,0)),""))</f>
        <v/>
      </c>
      <c r="F80" s="7" t="str">
        <f aca="false">IF(OR(NOT(ISNUMBER(D80)),NOT(ISNUMBER(E80))),"",IF(D80&gt;E80,"Sí","No"))</f>
        <v/>
      </c>
      <c r="G80" s="10"/>
      <c r="H80" s="10"/>
      <c r="I80" s="10"/>
      <c r="J80" s="8"/>
      <c r="K80" s="7" t="str">
        <f aca="false">IF(OR(F80="",I80=""),"",IF(AND(F80="Sí",I80="Sí"),"Sí","No"))</f>
        <v/>
      </c>
      <c r="L80" s="10"/>
      <c r="M80" s="10"/>
      <c r="N80" s="8"/>
      <c r="O80" s="10"/>
      <c r="P80" s="10"/>
      <c r="Q80" s="7" t="str">
        <f aca="false">IF(OR(O80="",P80=""),"",IF(O80=P80,"Sí","No"))</f>
        <v/>
      </c>
      <c r="R80" s="10"/>
      <c r="S80" s="8"/>
      <c r="T80" s="8"/>
    </row>
    <row r="81" customFormat="false" ht="15" hidden="false" customHeight="false" outlineLevel="0" collapsed="false">
      <c r="A81" s="7" t="s">
        <v>157</v>
      </c>
      <c r="B81" s="10"/>
      <c r="C81" s="8"/>
      <c r="D81" s="9"/>
      <c r="E81" s="13" t="str">
        <f aca="false">IF(B81="","",IFERROR(INDEX(Iniciativas!$J$2:$J$11,MATCH(B81,Iniciativas!$B$2:$B$11,0)),""))</f>
        <v/>
      </c>
      <c r="F81" s="7" t="str">
        <f aca="false">IF(OR(NOT(ISNUMBER(D81)),NOT(ISNUMBER(E81))),"",IF(D81&gt;E81,"Sí","No"))</f>
        <v/>
      </c>
      <c r="G81" s="10"/>
      <c r="H81" s="10"/>
      <c r="I81" s="10"/>
      <c r="J81" s="8"/>
      <c r="K81" s="7" t="str">
        <f aca="false">IF(OR(F81="",I81=""),"",IF(AND(F81="Sí",I81="Sí"),"Sí","No"))</f>
        <v/>
      </c>
      <c r="L81" s="10"/>
      <c r="M81" s="10"/>
      <c r="N81" s="8"/>
      <c r="O81" s="10"/>
      <c r="P81" s="10"/>
      <c r="Q81" s="7" t="str">
        <f aca="false">IF(OR(O81="",P81=""),"",IF(O81=P81,"Sí","No"))</f>
        <v/>
      </c>
      <c r="R81" s="10"/>
      <c r="S81" s="8"/>
      <c r="T81" s="8"/>
    </row>
    <row r="82" customFormat="false" ht="15" hidden="false" customHeight="false" outlineLevel="0" collapsed="false">
      <c r="A82" s="7" t="s">
        <v>158</v>
      </c>
      <c r="B82" s="10"/>
      <c r="C82" s="8"/>
      <c r="D82" s="9"/>
      <c r="E82" s="13" t="str">
        <f aca="false">IF(B82="","",IFERROR(INDEX(Iniciativas!$J$2:$J$11,MATCH(B82,Iniciativas!$B$2:$B$11,0)),""))</f>
        <v/>
      </c>
      <c r="F82" s="7" t="str">
        <f aca="false">IF(OR(NOT(ISNUMBER(D82)),NOT(ISNUMBER(E82))),"",IF(D82&gt;E82,"Sí","No"))</f>
        <v/>
      </c>
      <c r="G82" s="10"/>
      <c r="H82" s="10"/>
      <c r="I82" s="10"/>
      <c r="J82" s="8"/>
      <c r="K82" s="7" t="str">
        <f aca="false">IF(OR(F82="",I82=""),"",IF(AND(F82="Sí",I82="Sí"),"Sí","No"))</f>
        <v/>
      </c>
      <c r="L82" s="10"/>
      <c r="M82" s="10"/>
      <c r="N82" s="8"/>
      <c r="O82" s="10"/>
      <c r="P82" s="10"/>
      <c r="Q82" s="7" t="str">
        <f aca="false">IF(OR(O82="",P82=""),"",IF(O82=P82,"Sí","No"))</f>
        <v/>
      </c>
      <c r="R82" s="10"/>
      <c r="S82" s="8"/>
      <c r="T82" s="8"/>
    </row>
    <row r="83" customFormat="false" ht="15" hidden="false" customHeight="false" outlineLevel="0" collapsed="false">
      <c r="A83" s="7" t="s">
        <v>159</v>
      </c>
      <c r="B83" s="10"/>
      <c r="C83" s="8"/>
      <c r="D83" s="9"/>
      <c r="E83" s="13" t="str">
        <f aca="false">IF(B83="","",IFERROR(INDEX(Iniciativas!$J$2:$J$11,MATCH(B83,Iniciativas!$B$2:$B$11,0)),""))</f>
        <v/>
      </c>
      <c r="F83" s="7" t="str">
        <f aca="false">IF(OR(NOT(ISNUMBER(D83)),NOT(ISNUMBER(E83))),"",IF(D83&gt;E83,"Sí","No"))</f>
        <v/>
      </c>
      <c r="G83" s="10"/>
      <c r="H83" s="10"/>
      <c r="I83" s="10"/>
      <c r="J83" s="8"/>
      <c r="K83" s="7" t="str">
        <f aca="false">IF(OR(F83="",I83=""),"",IF(AND(F83="Sí",I83="Sí"),"Sí","No"))</f>
        <v/>
      </c>
      <c r="L83" s="10"/>
      <c r="M83" s="10"/>
      <c r="N83" s="8"/>
      <c r="O83" s="10"/>
      <c r="P83" s="10"/>
      <c r="Q83" s="7" t="str">
        <f aca="false">IF(OR(O83="",P83=""),"",IF(O83=P83,"Sí","No"))</f>
        <v/>
      </c>
      <c r="R83" s="10"/>
      <c r="S83" s="8"/>
      <c r="T83" s="8"/>
    </row>
    <row r="84" customFormat="false" ht="15" hidden="false" customHeight="false" outlineLevel="0" collapsed="false">
      <c r="A84" s="7" t="s">
        <v>160</v>
      </c>
      <c r="B84" s="10"/>
      <c r="C84" s="8"/>
      <c r="D84" s="9"/>
      <c r="E84" s="13" t="str">
        <f aca="false">IF(B84="","",IFERROR(INDEX(Iniciativas!$J$2:$J$11,MATCH(B84,Iniciativas!$B$2:$B$11,0)),""))</f>
        <v/>
      </c>
      <c r="F84" s="7" t="str">
        <f aca="false">IF(OR(NOT(ISNUMBER(D84)),NOT(ISNUMBER(E84))),"",IF(D84&gt;E84,"Sí","No"))</f>
        <v/>
      </c>
      <c r="G84" s="10"/>
      <c r="H84" s="10"/>
      <c r="I84" s="10"/>
      <c r="J84" s="8"/>
      <c r="K84" s="7" t="str">
        <f aca="false">IF(OR(F84="",I84=""),"",IF(AND(F84="Sí",I84="Sí"),"Sí","No"))</f>
        <v/>
      </c>
      <c r="L84" s="10"/>
      <c r="M84" s="10"/>
      <c r="N84" s="8"/>
      <c r="O84" s="10"/>
      <c r="P84" s="10"/>
      <c r="Q84" s="7" t="str">
        <f aca="false">IF(OR(O84="",P84=""),"",IF(O84=P84,"Sí","No"))</f>
        <v/>
      </c>
      <c r="R84" s="10"/>
      <c r="S84" s="8"/>
      <c r="T84" s="8"/>
    </row>
    <row r="85" customFormat="false" ht="15" hidden="false" customHeight="false" outlineLevel="0" collapsed="false">
      <c r="A85" s="7" t="s">
        <v>161</v>
      </c>
      <c r="B85" s="10"/>
      <c r="C85" s="8"/>
      <c r="D85" s="9"/>
      <c r="E85" s="13" t="str">
        <f aca="false">IF(B85="","",IFERROR(INDEX(Iniciativas!$J$2:$J$11,MATCH(B85,Iniciativas!$B$2:$B$11,0)),""))</f>
        <v/>
      </c>
      <c r="F85" s="7" t="str">
        <f aca="false">IF(OR(NOT(ISNUMBER(D85)),NOT(ISNUMBER(E85))),"",IF(D85&gt;E85,"Sí","No"))</f>
        <v/>
      </c>
      <c r="G85" s="10"/>
      <c r="H85" s="10"/>
      <c r="I85" s="10"/>
      <c r="J85" s="8"/>
      <c r="K85" s="7" t="str">
        <f aca="false">IF(OR(F85="",I85=""),"",IF(AND(F85="Sí",I85="Sí"),"Sí","No"))</f>
        <v/>
      </c>
      <c r="L85" s="10"/>
      <c r="M85" s="10"/>
      <c r="N85" s="8"/>
      <c r="O85" s="10"/>
      <c r="P85" s="10"/>
      <c r="Q85" s="7" t="str">
        <f aca="false">IF(OR(O85="",P85=""),"",IF(O85=P85,"Sí","No"))</f>
        <v/>
      </c>
      <c r="R85" s="10"/>
      <c r="S85" s="8"/>
      <c r="T85" s="8"/>
    </row>
    <row r="86" customFormat="false" ht="15" hidden="false" customHeight="false" outlineLevel="0" collapsed="false">
      <c r="A86" s="7" t="s">
        <v>162</v>
      </c>
      <c r="B86" s="10"/>
      <c r="C86" s="8"/>
      <c r="D86" s="9"/>
      <c r="E86" s="13" t="str">
        <f aca="false">IF(B86="","",IFERROR(INDEX(Iniciativas!$J$2:$J$11,MATCH(B86,Iniciativas!$B$2:$B$11,0)),""))</f>
        <v/>
      </c>
      <c r="F86" s="7" t="str">
        <f aca="false">IF(OR(NOT(ISNUMBER(D86)),NOT(ISNUMBER(E86))),"",IF(D86&gt;E86,"Sí","No"))</f>
        <v/>
      </c>
      <c r="G86" s="10"/>
      <c r="H86" s="10"/>
      <c r="I86" s="10"/>
      <c r="J86" s="8"/>
      <c r="K86" s="7" t="str">
        <f aca="false">IF(OR(F86="",I86=""),"",IF(AND(F86="Sí",I86="Sí"),"Sí","No"))</f>
        <v/>
      </c>
      <c r="L86" s="10"/>
      <c r="M86" s="10"/>
      <c r="N86" s="8"/>
      <c r="O86" s="10"/>
      <c r="P86" s="10"/>
      <c r="Q86" s="7" t="str">
        <f aca="false">IF(OR(O86="",P86=""),"",IF(O86=P86,"Sí","No"))</f>
        <v/>
      </c>
      <c r="R86" s="10"/>
      <c r="S86" s="8"/>
      <c r="T86" s="8"/>
    </row>
    <row r="87" customFormat="false" ht="15" hidden="false" customHeight="false" outlineLevel="0" collapsed="false">
      <c r="A87" s="7" t="s">
        <v>163</v>
      </c>
      <c r="B87" s="10"/>
      <c r="C87" s="8"/>
      <c r="D87" s="9"/>
      <c r="E87" s="13" t="str">
        <f aca="false">IF(B87="","",IFERROR(INDEX(Iniciativas!$J$2:$J$11,MATCH(B87,Iniciativas!$B$2:$B$11,0)),""))</f>
        <v/>
      </c>
      <c r="F87" s="7" t="str">
        <f aca="false">IF(OR(NOT(ISNUMBER(D87)),NOT(ISNUMBER(E87))),"",IF(D87&gt;E87,"Sí","No"))</f>
        <v/>
      </c>
      <c r="G87" s="10"/>
      <c r="H87" s="10"/>
      <c r="I87" s="10"/>
      <c r="J87" s="8"/>
      <c r="K87" s="7" t="str">
        <f aca="false">IF(OR(F87="",I87=""),"",IF(AND(F87="Sí",I87="Sí"),"Sí","No"))</f>
        <v/>
      </c>
      <c r="L87" s="10"/>
      <c r="M87" s="10"/>
      <c r="N87" s="8"/>
      <c r="O87" s="10"/>
      <c r="P87" s="10"/>
      <c r="Q87" s="7" t="str">
        <f aca="false">IF(OR(O87="",P87=""),"",IF(O87=P87,"Sí","No"))</f>
        <v/>
      </c>
      <c r="R87" s="10"/>
      <c r="S87" s="8"/>
      <c r="T87" s="8"/>
    </row>
    <row r="88" customFormat="false" ht="15" hidden="false" customHeight="false" outlineLevel="0" collapsed="false">
      <c r="A88" s="7" t="s">
        <v>164</v>
      </c>
      <c r="B88" s="10"/>
      <c r="C88" s="8"/>
      <c r="D88" s="9"/>
      <c r="E88" s="13" t="str">
        <f aca="false">IF(B88="","",IFERROR(INDEX(Iniciativas!$J$2:$J$11,MATCH(B88,Iniciativas!$B$2:$B$11,0)),""))</f>
        <v/>
      </c>
      <c r="F88" s="7" t="str">
        <f aca="false">IF(OR(NOT(ISNUMBER(D88)),NOT(ISNUMBER(E88))),"",IF(D88&gt;E88,"Sí","No"))</f>
        <v/>
      </c>
      <c r="G88" s="10"/>
      <c r="H88" s="10"/>
      <c r="I88" s="10"/>
      <c r="J88" s="8"/>
      <c r="K88" s="7" t="str">
        <f aca="false">IF(OR(F88="",I88=""),"",IF(AND(F88="Sí",I88="Sí"),"Sí","No"))</f>
        <v/>
      </c>
      <c r="L88" s="10"/>
      <c r="M88" s="10"/>
      <c r="N88" s="8"/>
      <c r="O88" s="10"/>
      <c r="P88" s="10"/>
      <c r="Q88" s="7" t="str">
        <f aca="false">IF(OR(O88="",P88=""),"",IF(O88=P88,"Sí","No"))</f>
        <v/>
      </c>
      <c r="R88" s="10"/>
      <c r="S88" s="8"/>
      <c r="T88" s="8"/>
    </row>
    <row r="89" customFormat="false" ht="15" hidden="false" customHeight="false" outlineLevel="0" collapsed="false">
      <c r="A89" s="7" t="s">
        <v>165</v>
      </c>
      <c r="B89" s="10"/>
      <c r="C89" s="8"/>
      <c r="D89" s="9"/>
      <c r="E89" s="13" t="str">
        <f aca="false">IF(B89="","",IFERROR(INDEX(Iniciativas!$J$2:$J$11,MATCH(B89,Iniciativas!$B$2:$B$11,0)),""))</f>
        <v/>
      </c>
      <c r="F89" s="7" t="str">
        <f aca="false">IF(OR(NOT(ISNUMBER(D89)),NOT(ISNUMBER(E89))),"",IF(D89&gt;E89,"Sí","No"))</f>
        <v/>
      </c>
      <c r="G89" s="10"/>
      <c r="H89" s="10"/>
      <c r="I89" s="10"/>
      <c r="J89" s="8"/>
      <c r="K89" s="7" t="str">
        <f aca="false">IF(OR(F89="",I89=""),"",IF(AND(F89="Sí",I89="Sí"),"Sí","No"))</f>
        <v/>
      </c>
      <c r="L89" s="10"/>
      <c r="M89" s="10"/>
      <c r="N89" s="8"/>
      <c r="O89" s="10"/>
      <c r="P89" s="10"/>
      <c r="Q89" s="7" t="str">
        <f aca="false">IF(OR(O89="",P89=""),"",IF(O89=P89,"Sí","No"))</f>
        <v/>
      </c>
      <c r="R89" s="10"/>
      <c r="S89" s="8"/>
      <c r="T89" s="8"/>
    </row>
    <row r="90" customFormat="false" ht="15" hidden="false" customHeight="false" outlineLevel="0" collapsed="false">
      <c r="A90" s="7" t="s">
        <v>166</v>
      </c>
      <c r="B90" s="10"/>
      <c r="C90" s="8"/>
      <c r="D90" s="9"/>
      <c r="E90" s="13" t="str">
        <f aca="false">IF(B90="","",IFERROR(INDEX(Iniciativas!$J$2:$J$11,MATCH(B90,Iniciativas!$B$2:$B$11,0)),""))</f>
        <v/>
      </c>
      <c r="F90" s="7" t="str">
        <f aca="false">IF(OR(NOT(ISNUMBER(D90)),NOT(ISNUMBER(E90))),"",IF(D90&gt;E90,"Sí","No"))</f>
        <v/>
      </c>
      <c r="G90" s="10"/>
      <c r="H90" s="10"/>
      <c r="I90" s="10"/>
      <c r="J90" s="8"/>
      <c r="K90" s="7" t="str">
        <f aca="false">IF(OR(F90="",I90=""),"",IF(AND(F90="Sí",I90="Sí"),"Sí","No"))</f>
        <v/>
      </c>
      <c r="L90" s="10"/>
      <c r="M90" s="10"/>
      <c r="N90" s="8"/>
      <c r="O90" s="10"/>
      <c r="P90" s="10"/>
      <c r="Q90" s="7" t="str">
        <f aca="false">IF(OR(O90="",P90=""),"",IF(O90=P90,"Sí","No"))</f>
        <v/>
      </c>
      <c r="R90" s="10"/>
      <c r="S90" s="8"/>
      <c r="T90" s="8"/>
    </row>
    <row r="91" customFormat="false" ht="15" hidden="false" customHeight="false" outlineLevel="0" collapsed="false">
      <c r="A91" s="7" t="s">
        <v>167</v>
      </c>
      <c r="B91" s="10"/>
      <c r="C91" s="8"/>
      <c r="D91" s="9"/>
      <c r="E91" s="13" t="str">
        <f aca="false">IF(B91="","",IFERROR(INDEX(Iniciativas!$J$2:$J$11,MATCH(B91,Iniciativas!$B$2:$B$11,0)),""))</f>
        <v/>
      </c>
      <c r="F91" s="7" t="str">
        <f aca="false">IF(OR(NOT(ISNUMBER(D91)),NOT(ISNUMBER(E91))),"",IF(D91&gt;E91,"Sí","No"))</f>
        <v/>
      </c>
      <c r="G91" s="10"/>
      <c r="H91" s="10"/>
      <c r="I91" s="10"/>
      <c r="J91" s="8"/>
      <c r="K91" s="7" t="str">
        <f aca="false">IF(OR(F91="",I91=""),"",IF(AND(F91="Sí",I91="Sí"),"Sí","No"))</f>
        <v/>
      </c>
      <c r="L91" s="10"/>
      <c r="M91" s="10"/>
      <c r="N91" s="8"/>
      <c r="O91" s="10"/>
      <c r="P91" s="10"/>
      <c r="Q91" s="7" t="str">
        <f aca="false">IF(OR(O91="",P91=""),"",IF(O91=P91,"Sí","No"))</f>
        <v/>
      </c>
      <c r="R91" s="10"/>
      <c r="S91" s="8"/>
      <c r="T91" s="8"/>
    </row>
    <row r="92" customFormat="false" ht="15" hidden="false" customHeight="false" outlineLevel="0" collapsed="false">
      <c r="A92" s="7" t="s">
        <v>168</v>
      </c>
      <c r="B92" s="10"/>
      <c r="C92" s="8"/>
      <c r="D92" s="9"/>
      <c r="E92" s="13" t="str">
        <f aca="false">IF(B92="","",IFERROR(INDEX(Iniciativas!$J$2:$J$11,MATCH(B92,Iniciativas!$B$2:$B$11,0)),""))</f>
        <v/>
      </c>
      <c r="F92" s="7" t="str">
        <f aca="false">IF(OR(NOT(ISNUMBER(D92)),NOT(ISNUMBER(E92))),"",IF(D92&gt;E92,"Sí","No"))</f>
        <v/>
      </c>
      <c r="G92" s="10"/>
      <c r="H92" s="10"/>
      <c r="I92" s="10"/>
      <c r="J92" s="8"/>
      <c r="K92" s="7" t="str">
        <f aca="false">IF(OR(F92="",I92=""),"",IF(AND(F92="Sí",I92="Sí"),"Sí","No"))</f>
        <v/>
      </c>
      <c r="L92" s="10"/>
      <c r="M92" s="10"/>
      <c r="N92" s="8"/>
      <c r="O92" s="10"/>
      <c r="P92" s="10"/>
      <c r="Q92" s="7" t="str">
        <f aca="false">IF(OR(O92="",P92=""),"",IF(O92=P92,"Sí","No"))</f>
        <v/>
      </c>
      <c r="R92" s="10"/>
      <c r="S92" s="8"/>
      <c r="T92" s="8"/>
    </row>
    <row r="93" customFormat="false" ht="15" hidden="false" customHeight="false" outlineLevel="0" collapsed="false">
      <c r="A93" s="7" t="s">
        <v>169</v>
      </c>
      <c r="B93" s="10"/>
      <c r="C93" s="8"/>
      <c r="D93" s="9"/>
      <c r="E93" s="13" t="str">
        <f aca="false">IF(B93="","",IFERROR(INDEX(Iniciativas!$J$2:$J$11,MATCH(B93,Iniciativas!$B$2:$B$11,0)),""))</f>
        <v/>
      </c>
      <c r="F93" s="7" t="str">
        <f aca="false">IF(OR(NOT(ISNUMBER(D93)),NOT(ISNUMBER(E93))),"",IF(D93&gt;E93,"Sí","No"))</f>
        <v/>
      </c>
      <c r="G93" s="10"/>
      <c r="H93" s="10"/>
      <c r="I93" s="10"/>
      <c r="J93" s="8"/>
      <c r="K93" s="7" t="str">
        <f aca="false">IF(OR(F93="",I93=""),"",IF(AND(F93="Sí",I93="Sí"),"Sí","No"))</f>
        <v/>
      </c>
      <c r="L93" s="10"/>
      <c r="M93" s="10"/>
      <c r="N93" s="8"/>
      <c r="O93" s="10"/>
      <c r="P93" s="10"/>
      <c r="Q93" s="7" t="str">
        <f aca="false">IF(OR(O93="",P93=""),"",IF(O93=P93,"Sí","No"))</f>
        <v/>
      </c>
      <c r="R93" s="10"/>
      <c r="S93" s="8"/>
      <c r="T93" s="8"/>
    </row>
    <row r="94" customFormat="false" ht="15" hidden="false" customHeight="false" outlineLevel="0" collapsed="false">
      <c r="A94" s="7" t="s">
        <v>170</v>
      </c>
      <c r="B94" s="10"/>
      <c r="C94" s="8"/>
      <c r="D94" s="9"/>
      <c r="E94" s="13" t="str">
        <f aca="false">IF(B94="","",IFERROR(INDEX(Iniciativas!$J$2:$J$11,MATCH(B94,Iniciativas!$B$2:$B$11,0)),""))</f>
        <v/>
      </c>
      <c r="F94" s="7" t="str">
        <f aca="false">IF(OR(NOT(ISNUMBER(D94)),NOT(ISNUMBER(E94))),"",IF(D94&gt;E94,"Sí","No"))</f>
        <v/>
      </c>
      <c r="G94" s="10"/>
      <c r="H94" s="10"/>
      <c r="I94" s="10"/>
      <c r="J94" s="8"/>
      <c r="K94" s="7" t="str">
        <f aca="false">IF(OR(F94="",I94=""),"",IF(AND(F94="Sí",I94="Sí"),"Sí","No"))</f>
        <v/>
      </c>
      <c r="L94" s="10"/>
      <c r="M94" s="10"/>
      <c r="N94" s="8"/>
      <c r="O94" s="10"/>
      <c r="P94" s="10"/>
      <c r="Q94" s="7" t="str">
        <f aca="false">IF(OR(O94="",P94=""),"",IF(O94=P94,"Sí","No"))</f>
        <v/>
      </c>
      <c r="R94" s="10"/>
      <c r="S94" s="8"/>
      <c r="T94" s="8"/>
    </row>
    <row r="95" customFormat="false" ht="15" hidden="false" customHeight="false" outlineLevel="0" collapsed="false">
      <c r="A95" s="7" t="s">
        <v>171</v>
      </c>
      <c r="B95" s="10"/>
      <c r="C95" s="8"/>
      <c r="D95" s="9"/>
      <c r="E95" s="13" t="str">
        <f aca="false">IF(B95="","",IFERROR(INDEX(Iniciativas!$J$2:$J$11,MATCH(B95,Iniciativas!$B$2:$B$11,0)),""))</f>
        <v/>
      </c>
      <c r="F95" s="7" t="str">
        <f aca="false">IF(OR(NOT(ISNUMBER(D95)),NOT(ISNUMBER(E95))),"",IF(D95&gt;E95,"Sí","No"))</f>
        <v/>
      </c>
      <c r="G95" s="10"/>
      <c r="H95" s="10"/>
      <c r="I95" s="10"/>
      <c r="J95" s="8"/>
      <c r="K95" s="7" t="str">
        <f aca="false">IF(OR(F95="",I95=""),"",IF(AND(F95="Sí",I95="Sí"),"Sí","No"))</f>
        <v/>
      </c>
      <c r="L95" s="10"/>
      <c r="M95" s="10"/>
      <c r="N95" s="8"/>
      <c r="O95" s="10"/>
      <c r="P95" s="10"/>
      <c r="Q95" s="7" t="str">
        <f aca="false">IF(OR(O95="",P95=""),"",IF(O95=P95,"Sí","No"))</f>
        <v/>
      </c>
      <c r="R95" s="10"/>
      <c r="S95" s="8"/>
      <c r="T95" s="8"/>
    </row>
    <row r="96" customFormat="false" ht="15" hidden="false" customHeight="false" outlineLevel="0" collapsed="false">
      <c r="A96" s="7" t="s">
        <v>172</v>
      </c>
      <c r="B96" s="10"/>
      <c r="C96" s="8"/>
      <c r="D96" s="9"/>
      <c r="E96" s="13" t="str">
        <f aca="false">IF(B96="","",IFERROR(INDEX(Iniciativas!$J$2:$J$11,MATCH(B96,Iniciativas!$B$2:$B$11,0)),""))</f>
        <v/>
      </c>
      <c r="F96" s="7" t="str">
        <f aca="false">IF(OR(NOT(ISNUMBER(D96)),NOT(ISNUMBER(E96))),"",IF(D96&gt;E96,"Sí","No"))</f>
        <v/>
      </c>
      <c r="G96" s="10"/>
      <c r="H96" s="10"/>
      <c r="I96" s="10"/>
      <c r="J96" s="8"/>
      <c r="K96" s="7" t="str">
        <f aca="false">IF(OR(F96="",I96=""),"",IF(AND(F96="Sí",I96="Sí"),"Sí","No"))</f>
        <v/>
      </c>
      <c r="L96" s="10"/>
      <c r="M96" s="10"/>
      <c r="N96" s="8"/>
      <c r="O96" s="10"/>
      <c r="P96" s="10"/>
      <c r="Q96" s="7" t="str">
        <f aca="false">IF(OR(O96="",P96=""),"",IF(O96=P96,"Sí","No"))</f>
        <v/>
      </c>
      <c r="R96" s="10"/>
      <c r="S96" s="8"/>
      <c r="T96" s="8"/>
    </row>
    <row r="97" customFormat="false" ht="15" hidden="false" customHeight="false" outlineLevel="0" collapsed="false">
      <c r="A97" s="7" t="s">
        <v>173</v>
      </c>
      <c r="B97" s="10"/>
      <c r="C97" s="8"/>
      <c r="D97" s="9"/>
      <c r="E97" s="13" t="str">
        <f aca="false">IF(B97="","",IFERROR(INDEX(Iniciativas!$J$2:$J$11,MATCH(B97,Iniciativas!$B$2:$B$11,0)),""))</f>
        <v/>
      </c>
      <c r="F97" s="7" t="str">
        <f aca="false">IF(OR(NOT(ISNUMBER(D97)),NOT(ISNUMBER(E97))),"",IF(D97&gt;E97,"Sí","No"))</f>
        <v/>
      </c>
      <c r="G97" s="10"/>
      <c r="H97" s="10"/>
      <c r="I97" s="10"/>
      <c r="J97" s="8"/>
      <c r="K97" s="7" t="str">
        <f aca="false">IF(OR(F97="",I97=""),"",IF(AND(F97="Sí",I97="Sí"),"Sí","No"))</f>
        <v/>
      </c>
      <c r="L97" s="10"/>
      <c r="M97" s="10"/>
      <c r="N97" s="8"/>
      <c r="O97" s="10"/>
      <c r="P97" s="10"/>
      <c r="Q97" s="7" t="str">
        <f aca="false">IF(OR(O97="",P97=""),"",IF(O97=P97,"Sí","No"))</f>
        <v/>
      </c>
      <c r="R97" s="10"/>
      <c r="S97" s="8"/>
      <c r="T97" s="8"/>
    </row>
    <row r="98" customFormat="false" ht="15" hidden="false" customHeight="false" outlineLevel="0" collapsed="false">
      <c r="A98" s="7" t="s">
        <v>174</v>
      </c>
      <c r="B98" s="10"/>
      <c r="C98" s="8"/>
      <c r="D98" s="9"/>
      <c r="E98" s="13" t="str">
        <f aca="false">IF(B98="","",IFERROR(INDEX(Iniciativas!$J$2:$J$11,MATCH(B98,Iniciativas!$B$2:$B$11,0)),""))</f>
        <v/>
      </c>
      <c r="F98" s="7" t="str">
        <f aca="false">IF(OR(NOT(ISNUMBER(D98)),NOT(ISNUMBER(E98))),"",IF(D98&gt;E98,"Sí","No"))</f>
        <v/>
      </c>
      <c r="G98" s="10"/>
      <c r="H98" s="10"/>
      <c r="I98" s="10"/>
      <c r="J98" s="8"/>
      <c r="K98" s="7" t="str">
        <f aca="false">IF(OR(F98="",I98=""),"",IF(AND(F98="Sí",I98="Sí"),"Sí","No"))</f>
        <v/>
      </c>
      <c r="L98" s="10"/>
      <c r="M98" s="10"/>
      <c r="N98" s="8"/>
      <c r="O98" s="10"/>
      <c r="P98" s="10"/>
      <c r="Q98" s="7" t="str">
        <f aca="false">IF(OR(O98="",P98=""),"",IF(O98=P98,"Sí","No"))</f>
        <v/>
      </c>
      <c r="R98" s="10"/>
      <c r="S98" s="8"/>
      <c r="T98" s="8"/>
    </row>
    <row r="99" customFormat="false" ht="15" hidden="false" customHeight="false" outlineLevel="0" collapsed="false">
      <c r="A99" s="7" t="s">
        <v>175</v>
      </c>
      <c r="B99" s="10"/>
      <c r="C99" s="8"/>
      <c r="D99" s="9"/>
      <c r="E99" s="13" t="str">
        <f aca="false">IF(B99="","",IFERROR(INDEX(Iniciativas!$J$2:$J$11,MATCH(B99,Iniciativas!$B$2:$B$11,0)),""))</f>
        <v/>
      </c>
      <c r="F99" s="7" t="str">
        <f aca="false">IF(OR(NOT(ISNUMBER(D99)),NOT(ISNUMBER(E99))),"",IF(D99&gt;E99,"Sí","No"))</f>
        <v/>
      </c>
      <c r="G99" s="10"/>
      <c r="H99" s="10"/>
      <c r="I99" s="10"/>
      <c r="J99" s="8"/>
      <c r="K99" s="7" t="str">
        <f aca="false">IF(OR(F99="",I99=""),"",IF(AND(F99="Sí",I99="Sí"),"Sí","No"))</f>
        <v/>
      </c>
      <c r="L99" s="10"/>
      <c r="M99" s="10"/>
      <c r="N99" s="8"/>
      <c r="O99" s="10"/>
      <c r="P99" s="10"/>
      <c r="Q99" s="7" t="str">
        <f aca="false">IF(OR(O99="",P99=""),"",IF(O99=P99,"Sí","No"))</f>
        <v/>
      </c>
      <c r="R99" s="10"/>
      <c r="S99" s="8"/>
      <c r="T99" s="8"/>
    </row>
    <row r="100" customFormat="false" ht="15" hidden="false" customHeight="false" outlineLevel="0" collapsed="false">
      <c r="A100" s="7" t="s">
        <v>176</v>
      </c>
      <c r="B100" s="10"/>
      <c r="C100" s="8"/>
      <c r="D100" s="9"/>
      <c r="E100" s="13" t="str">
        <f aca="false">IF(B100="","",IFERROR(INDEX(Iniciativas!$J$2:$J$11,MATCH(B100,Iniciativas!$B$2:$B$11,0)),""))</f>
        <v/>
      </c>
      <c r="F100" s="7" t="str">
        <f aca="false">IF(OR(NOT(ISNUMBER(D100)),NOT(ISNUMBER(E100))),"",IF(D100&gt;E100,"Sí","No"))</f>
        <v/>
      </c>
      <c r="G100" s="10"/>
      <c r="H100" s="10"/>
      <c r="I100" s="10"/>
      <c r="J100" s="8"/>
      <c r="K100" s="7" t="str">
        <f aca="false">IF(OR(F100="",I100=""),"",IF(AND(F100="Sí",I100="Sí"),"Sí","No"))</f>
        <v/>
      </c>
      <c r="L100" s="10"/>
      <c r="M100" s="10"/>
      <c r="N100" s="8"/>
      <c r="O100" s="10"/>
      <c r="P100" s="10"/>
      <c r="Q100" s="7" t="str">
        <f aca="false">IF(OR(O100="",P100=""),"",IF(O100=P100,"Sí","No"))</f>
        <v/>
      </c>
      <c r="R100" s="10"/>
      <c r="S100" s="8"/>
      <c r="T100" s="8"/>
    </row>
    <row r="101" customFormat="false" ht="15" hidden="false" customHeight="false" outlineLevel="0" collapsed="false">
      <c r="A101" s="7" t="s">
        <v>177</v>
      </c>
      <c r="B101" s="10"/>
      <c r="C101" s="8"/>
      <c r="D101" s="9"/>
      <c r="E101" s="13" t="str">
        <f aca="false">IF(B101="","",IFERROR(INDEX(Iniciativas!$J$2:$J$11,MATCH(B101,Iniciativas!$B$2:$B$11,0)),""))</f>
        <v/>
      </c>
      <c r="F101" s="7" t="str">
        <f aca="false">IF(OR(NOT(ISNUMBER(D101)),NOT(ISNUMBER(E101))),"",IF(D101&gt;E101,"Sí","No"))</f>
        <v/>
      </c>
      <c r="G101" s="10"/>
      <c r="H101" s="10"/>
      <c r="I101" s="10"/>
      <c r="J101" s="8"/>
      <c r="K101" s="7" t="str">
        <f aca="false">IF(OR(F101="",I101=""),"",IF(AND(F101="Sí",I101="Sí"),"Sí","No"))</f>
        <v/>
      </c>
      <c r="L101" s="10"/>
      <c r="M101" s="10"/>
      <c r="N101" s="8"/>
      <c r="O101" s="10"/>
      <c r="P101" s="10"/>
      <c r="Q101" s="7" t="str">
        <f aca="false">IF(OR(O101="",P101=""),"",IF(O101=P101,"Sí","No"))</f>
        <v/>
      </c>
      <c r="R101" s="10"/>
      <c r="S101" s="8"/>
      <c r="T101" s="8"/>
    </row>
    <row r="102" customFormat="false" ht="15" hidden="false" customHeight="false" outlineLevel="0" collapsed="false">
      <c r="A102" s="7" t="s">
        <v>178</v>
      </c>
      <c r="B102" s="10"/>
      <c r="C102" s="8"/>
      <c r="D102" s="9"/>
      <c r="E102" s="13" t="str">
        <f aca="false">IF(B102="","",IFERROR(INDEX(Iniciativas!$J$2:$J$11,MATCH(B102,Iniciativas!$B$2:$B$11,0)),""))</f>
        <v/>
      </c>
      <c r="F102" s="7" t="str">
        <f aca="false">IF(OR(NOT(ISNUMBER(D102)),NOT(ISNUMBER(E102))),"",IF(D102&gt;E102,"Sí","No"))</f>
        <v/>
      </c>
      <c r="G102" s="10"/>
      <c r="H102" s="10"/>
      <c r="I102" s="10"/>
      <c r="J102" s="8"/>
      <c r="K102" s="7" t="str">
        <f aca="false">IF(OR(F102="",I102=""),"",IF(AND(F102="Sí",I102="Sí"),"Sí","No"))</f>
        <v/>
      </c>
      <c r="L102" s="10"/>
      <c r="M102" s="10"/>
      <c r="N102" s="8"/>
      <c r="O102" s="10"/>
      <c r="P102" s="10"/>
      <c r="Q102" s="7" t="str">
        <f aca="false">IF(OR(O102="",P102=""),"",IF(O102=P102,"Sí","No"))</f>
        <v/>
      </c>
      <c r="R102" s="10"/>
      <c r="S102" s="8"/>
      <c r="T102" s="8"/>
    </row>
    <row r="103" customFormat="false" ht="15" hidden="false" customHeight="false" outlineLevel="0" collapsed="false">
      <c r="A103" s="7" t="s">
        <v>179</v>
      </c>
      <c r="B103" s="10"/>
      <c r="C103" s="8"/>
      <c r="D103" s="9"/>
      <c r="E103" s="13" t="str">
        <f aca="false">IF(B103="","",IFERROR(INDEX(Iniciativas!$J$2:$J$11,MATCH(B103,Iniciativas!$B$2:$B$11,0)),""))</f>
        <v/>
      </c>
      <c r="F103" s="7" t="str">
        <f aca="false">IF(OR(NOT(ISNUMBER(D103)),NOT(ISNUMBER(E103))),"",IF(D103&gt;E103,"Sí","No"))</f>
        <v/>
      </c>
      <c r="G103" s="10"/>
      <c r="H103" s="10"/>
      <c r="I103" s="10"/>
      <c r="J103" s="8"/>
      <c r="K103" s="7" t="str">
        <f aca="false">IF(OR(F103="",I103=""),"",IF(AND(F103="Sí",I103="Sí"),"Sí","No"))</f>
        <v/>
      </c>
      <c r="L103" s="10"/>
      <c r="M103" s="10"/>
      <c r="N103" s="8"/>
      <c r="O103" s="10"/>
      <c r="P103" s="10"/>
      <c r="Q103" s="7" t="str">
        <f aca="false">IF(OR(O103="",P103=""),"",IF(O103=P103,"Sí","No"))</f>
        <v/>
      </c>
      <c r="R103" s="10"/>
      <c r="S103" s="8"/>
      <c r="T103" s="8"/>
    </row>
    <row r="104" customFormat="false" ht="15" hidden="false" customHeight="false" outlineLevel="0" collapsed="false">
      <c r="A104" s="7" t="s">
        <v>180</v>
      </c>
      <c r="B104" s="10"/>
      <c r="C104" s="8"/>
      <c r="D104" s="9"/>
      <c r="E104" s="13" t="str">
        <f aca="false">IF(B104="","",IFERROR(INDEX(Iniciativas!$J$2:$J$11,MATCH(B104,Iniciativas!$B$2:$B$11,0)),""))</f>
        <v/>
      </c>
      <c r="F104" s="7" t="str">
        <f aca="false">IF(OR(NOT(ISNUMBER(D104)),NOT(ISNUMBER(E104))),"",IF(D104&gt;E104,"Sí","No"))</f>
        <v/>
      </c>
      <c r="G104" s="10"/>
      <c r="H104" s="10"/>
      <c r="I104" s="10"/>
      <c r="J104" s="8"/>
      <c r="K104" s="7" t="str">
        <f aca="false">IF(OR(F104="",I104=""),"",IF(AND(F104="Sí",I104="Sí"),"Sí","No"))</f>
        <v/>
      </c>
      <c r="L104" s="10"/>
      <c r="M104" s="10"/>
      <c r="N104" s="8"/>
      <c r="O104" s="10"/>
      <c r="P104" s="10"/>
      <c r="Q104" s="7" t="str">
        <f aca="false">IF(OR(O104="",P104=""),"",IF(O104=P104,"Sí","No"))</f>
        <v/>
      </c>
      <c r="R104" s="10"/>
      <c r="S104" s="8"/>
      <c r="T104" s="8"/>
    </row>
    <row r="105" customFormat="false" ht="15" hidden="false" customHeight="false" outlineLevel="0" collapsed="false">
      <c r="A105" s="7" t="s">
        <v>181</v>
      </c>
      <c r="B105" s="10"/>
      <c r="C105" s="8"/>
      <c r="D105" s="9"/>
      <c r="E105" s="13" t="str">
        <f aca="false">IF(B105="","",IFERROR(INDEX(Iniciativas!$J$2:$J$11,MATCH(B105,Iniciativas!$B$2:$B$11,0)),""))</f>
        <v/>
      </c>
      <c r="F105" s="7" t="str">
        <f aca="false">IF(OR(NOT(ISNUMBER(D105)),NOT(ISNUMBER(E105))),"",IF(D105&gt;E105,"Sí","No"))</f>
        <v/>
      </c>
      <c r="G105" s="10"/>
      <c r="H105" s="10"/>
      <c r="I105" s="10"/>
      <c r="J105" s="8"/>
      <c r="K105" s="7" t="str">
        <f aca="false">IF(OR(F105="",I105=""),"",IF(AND(F105="Sí",I105="Sí"),"Sí","No"))</f>
        <v/>
      </c>
      <c r="L105" s="10"/>
      <c r="M105" s="10"/>
      <c r="N105" s="8"/>
      <c r="O105" s="10"/>
      <c r="P105" s="10"/>
      <c r="Q105" s="7" t="str">
        <f aca="false">IF(OR(O105="",P105=""),"",IF(O105=P105,"Sí","No"))</f>
        <v/>
      </c>
      <c r="R105" s="10"/>
      <c r="S105" s="8"/>
      <c r="T105" s="8"/>
    </row>
    <row r="106" customFormat="false" ht="15" hidden="false" customHeight="false" outlineLevel="0" collapsed="false">
      <c r="A106" s="7" t="s">
        <v>182</v>
      </c>
      <c r="B106" s="10"/>
      <c r="C106" s="8"/>
      <c r="D106" s="9"/>
      <c r="E106" s="13" t="str">
        <f aca="false">IF(B106="","",IFERROR(INDEX(Iniciativas!$J$2:$J$11,MATCH(B106,Iniciativas!$B$2:$B$11,0)),""))</f>
        <v/>
      </c>
      <c r="F106" s="7" t="str">
        <f aca="false">IF(OR(NOT(ISNUMBER(D106)),NOT(ISNUMBER(E106))),"",IF(D106&gt;E106,"Sí","No"))</f>
        <v/>
      </c>
      <c r="G106" s="10"/>
      <c r="H106" s="10"/>
      <c r="I106" s="10"/>
      <c r="J106" s="8"/>
      <c r="K106" s="7" t="str">
        <f aca="false">IF(OR(F106="",I106=""),"",IF(AND(F106="Sí",I106="Sí"),"Sí","No"))</f>
        <v/>
      </c>
      <c r="L106" s="10"/>
      <c r="M106" s="10"/>
      <c r="N106" s="8"/>
      <c r="O106" s="10"/>
      <c r="P106" s="10"/>
      <c r="Q106" s="7" t="str">
        <f aca="false">IF(OR(O106="",P106=""),"",IF(O106=P106,"Sí","No"))</f>
        <v/>
      </c>
      <c r="R106" s="10"/>
      <c r="S106" s="8"/>
      <c r="T106" s="8"/>
    </row>
    <row r="107" customFormat="false" ht="15" hidden="false" customHeight="false" outlineLevel="0" collapsed="false">
      <c r="A107" s="7" t="s">
        <v>183</v>
      </c>
      <c r="B107" s="10"/>
      <c r="C107" s="8"/>
      <c r="D107" s="9"/>
      <c r="E107" s="13" t="str">
        <f aca="false">IF(B107="","",IFERROR(INDEX(Iniciativas!$J$2:$J$11,MATCH(B107,Iniciativas!$B$2:$B$11,0)),""))</f>
        <v/>
      </c>
      <c r="F107" s="7" t="str">
        <f aca="false">IF(OR(NOT(ISNUMBER(D107)),NOT(ISNUMBER(E107))),"",IF(D107&gt;E107,"Sí","No"))</f>
        <v/>
      </c>
      <c r="G107" s="10"/>
      <c r="H107" s="10"/>
      <c r="I107" s="10"/>
      <c r="J107" s="8"/>
      <c r="K107" s="7" t="str">
        <f aca="false">IF(OR(F107="",I107=""),"",IF(AND(F107="Sí",I107="Sí"),"Sí","No"))</f>
        <v/>
      </c>
      <c r="L107" s="10"/>
      <c r="M107" s="10"/>
      <c r="N107" s="8"/>
      <c r="O107" s="10"/>
      <c r="P107" s="10"/>
      <c r="Q107" s="7" t="str">
        <f aca="false">IF(OR(O107="",P107=""),"",IF(O107=P107,"Sí","No"))</f>
        <v/>
      </c>
      <c r="R107" s="10"/>
      <c r="S107" s="8"/>
      <c r="T107" s="8"/>
    </row>
    <row r="108" customFormat="false" ht="15" hidden="false" customHeight="false" outlineLevel="0" collapsed="false">
      <c r="A108" s="7" t="s">
        <v>184</v>
      </c>
      <c r="B108" s="10"/>
      <c r="C108" s="8"/>
      <c r="D108" s="9"/>
      <c r="E108" s="13" t="str">
        <f aca="false">IF(B108="","",IFERROR(INDEX(Iniciativas!$J$2:$J$11,MATCH(B108,Iniciativas!$B$2:$B$11,0)),""))</f>
        <v/>
      </c>
      <c r="F108" s="7" t="str">
        <f aca="false">IF(OR(NOT(ISNUMBER(D108)),NOT(ISNUMBER(E108))),"",IF(D108&gt;E108,"Sí","No"))</f>
        <v/>
      </c>
      <c r="G108" s="10"/>
      <c r="H108" s="10"/>
      <c r="I108" s="10"/>
      <c r="J108" s="8"/>
      <c r="K108" s="7" t="str">
        <f aca="false">IF(OR(F108="",I108=""),"",IF(AND(F108="Sí",I108="Sí"),"Sí","No"))</f>
        <v/>
      </c>
      <c r="L108" s="10"/>
      <c r="M108" s="10"/>
      <c r="N108" s="8"/>
      <c r="O108" s="10"/>
      <c r="P108" s="10"/>
      <c r="Q108" s="7" t="str">
        <f aca="false">IF(OR(O108="",P108=""),"",IF(O108=P108,"Sí","No"))</f>
        <v/>
      </c>
      <c r="R108" s="10"/>
      <c r="S108" s="8"/>
      <c r="T108" s="8"/>
    </row>
    <row r="109" customFormat="false" ht="15" hidden="false" customHeight="false" outlineLevel="0" collapsed="false">
      <c r="A109" s="7" t="s">
        <v>185</v>
      </c>
      <c r="B109" s="10"/>
      <c r="C109" s="8"/>
      <c r="D109" s="9"/>
      <c r="E109" s="13" t="str">
        <f aca="false">IF(B109="","",IFERROR(INDEX(Iniciativas!$J$2:$J$11,MATCH(B109,Iniciativas!$B$2:$B$11,0)),""))</f>
        <v/>
      </c>
      <c r="F109" s="7" t="str">
        <f aca="false">IF(OR(NOT(ISNUMBER(D109)),NOT(ISNUMBER(E109))),"",IF(D109&gt;E109,"Sí","No"))</f>
        <v/>
      </c>
      <c r="G109" s="10"/>
      <c r="H109" s="10"/>
      <c r="I109" s="10"/>
      <c r="J109" s="8"/>
      <c r="K109" s="7" t="str">
        <f aca="false">IF(OR(F109="",I109=""),"",IF(AND(F109="Sí",I109="Sí"),"Sí","No"))</f>
        <v/>
      </c>
      <c r="L109" s="10"/>
      <c r="M109" s="10"/>
      <c r="N109" s="8"/>
      <c r="O109" s="10"/>
      <c r="P109" s="10"/>
      <c r="Q109" s="7" t="str">
        <f aca="false">IF(OR(O109="",P109=""),"",IF(O109=P109,"Sí","No"))</f>
        <v/>
      </c>
      <c r="R109" s="10"/>
      <c r="S109" s="8"/>
      <c r="T109" s="8"/>
    </row>
    <row r="110" customFormat="false" ht="15" hidden="false" customHeight="false" outlineLevel="0" collapsed="false">
      <c r="A110" s="7" t="s">
        <v>186</v>
      </c>
      <c r="B110" s="10"/>
      <c r="C110" s="8"/>
      <c r="D110" s="9"/>
      <c r="E110" s="13" t="str">
        <f aca="false">IF(B110="","",IFERROR(INDEX(Iniciativas!$J$2:$J$11,MATCH(B110,Iniciativas!$B$2:$B$11,0)),""))</f>
        <v/>
      </c>
      <c r="F110" s="7" t="str">
        <f aca="false">IF(OR(NOT(ISNUMBER(D110)),NOT(ISNUMBER(E110))),"",IF(D110&gt;E110,"Sí","No"))</f>
        <v/>
      </c>
      <c r="G110" s="10"/>
      <c r="H110" s="10"/>
      <c r="I110" s="10"/>
      <c r="J110" s="8"/>
      <c r="K110" s="7" t="str">
        <f aca="false">IF(OR(F110="",I110=""),"",IF(AND(F110="Sí",I110="Sí"),"Sí","No"))</f>
        <v/>
      </c>
      <c r="L110" s="10"/>
      <c r="M110" s="10"/>
      <c r="N110" s="8"/>
      <c r="O110" s="10"/>
      <c r="P110" s="10"/>
      <c r="Q110" s="7" t="str">
        <f aca="false">IF(OR(O110="",P110=""),"",IF(O110=P110,"Sí","No"))</f>
        <v/>
      </c>
      <c r="R110" s="10"/>
      <c r="S110" s="8"/>
      <c r="T110" s="8"/>
    </row>
    <row r="111" customFormat="false" ht="15" hidden="false" customHeight="false" outlineLevel="0" collapsed="false">
      <c r="A111" s="7" t="s">
        <v>187</v>
      </c>
      <c r="B111" s="10"/>
      <c r="C111" s="8"/>
      <c r="D111" s="9"/>
      <c r="E111" s="13" t="str">
        <f aca="false">IF(B111="","",IFERROR(INDEX(Iniciativas!$J$2:$J$11,MATCH(B111,Iniciativas!$B$2:$B$11,0)),""))</f>
        <v/>
      </c>
      <c r="F111" s="7" t="str">
        <f aca="false">IF(OR(NOT(ISNUMBER(D111)),NOT(ISNUMBER(E111))),"",IF(D111&gt;E111,"Sí","No"))</f>
        <v/>
      </c>
      <c r="G111" s="10"/>
      <c r="H111" s="10"/>
      <c r="I111" s="10"/>
      <c r="J111" s="8"/>
      <c r="K111" s="7" t="str">
        <f aca="false">IF(OR(F111="",I111=""),"",IF(AND(F111="Sí",I111="Sí"),"Sí","No"))</f>
        <v/>
      </c>
      <c r="L111" s="10"/>
      <c r="M111" s="10"/>
      <c r="N111" s="8"/>
      <c r="O111" s="10"/>
      <c r="P111" s="10"/>
      <c r="Q111" s="7" t="str">
        <f aca="false">IF(OR(O111="",P111=""),"",IF(O111=P111,"Sí","No"))</f>
        <v/>
      </c>
      <c r="R111" s="10"/>
      <c r="S111" s="8"/>
      <c r="T111" s="8"/>
    </row>
    <row r="112" customFormat="false" ht="15" hidden="false" customHeight="false" outlineLevel="0" collapsed="false">
      <c r="A112" s="7" t="s">
        <v>188</v>
      </c>
      <c r="B112" s="10"/>
      <c r="C112" s="8"/>
      <c r="D112" s="9"/>
      <c r="E112" s="13" t="str">
        <f aca="false">IF(B112="","",IFERROR(INDEX(Iniciativas!$J$2:$J$11,MATCH(B112,Iniciativas!$B$2:$B$11,0)),""))</f>
        <v/>
      </c>
      <c r="F112" s="7" t="str">
        <f aca="false">IF(OR(NOT(ISNUMBER(D112)),NOT(ISNUMBER(E112))),"",IF(D112&gt;E112,"Sí","No"))</f>
        <v/>
      </c>
      <c r="G112" s="10"/>
      <c r="H112" s="10"/>
      <c r="I112" s="10"/>
      <c r="J112" s="8"/>
      <c r="K112" s="7" t="str">
        <f aca="false">IF(OR(F112="",I112=""),"",IF(AND(F112="Sí",I112="Sí"),"Sí","No"))</f>
        <v/>
      </c>
      <c r="L112" s="10"/>
      <c r="M112" s="10"/>
      <c r="N112" s="8"/>
      <c r="O112" s="10"/>
      <c r="P112" s="10"/>
      <c r="Q112" s="7" t="str">
        <f aca="false">IF(OR(O112="",P112=""),"",IF(O112=P112,"Sí","No"))</f>
        <v/>
      </c>
      <c r="R112" s="10"/>
      <c r="S112" s="8"/>
      <c r="T112" s="8"/>
    </row>
    <row r="113" customFormat="false" ht="15" hidden="false" customHeight="false" outlineLevel="0" collapsed="false">
      <c r="A113" s="7" t="s">
        <v>189</v>
      </c>
      <c r="B113" s="10"/>
      <c r="C113" s="8"/>
      <c r="D113" s="9"/>
      <c r="E113" s="13" t="str">
        <f aca="false">IF(B113="","",IFERROR(INDEX(Iniciativas!$J$2:$J$11,MATCH(B113,Iniciativas!$B$2:$B$11,0)),""))</f>
        <v/>
      </c>
      <c r="F113" s="7" t="str">
        <f aca="false">IF(OR(NOT(ISNUMBER(D113)),NOT(ISNUMBER(E113))),"",IF(D113&gt;E113,"Sí","No"))</f>
        <v/>
      </c>
      <c r="G113" s="10"/>
      <c r="H113" s="10"/>
      <c r="I113" s="10"/>
      <c r="J113" s="8"/>
      <c r="K113" s="7" t="str">
        <f aca="false">IF(OR(F113="",I113=""),"",IF(AND(F113="Sí",I113="Sí"),"Sí","No"))</f>
        <v/>
      </c>
      <c r="L113" s="10"/>
      <c r="M113" s="10"/>
      <c r="N113" s="8"/>
      <c r="O113" s="10"/>
      <c r="P113" s="10"/>
      <c r="Q113" s="7" t="str">
        <f aca="false">IF(OR(O113="",P113=""),"",IF(O113=P113,"Sí","No"))</f>
        <v/>
      </c>
      <c r="R113" s="10"/>
      <c r="S113" s="8"/>
      <c r="T113" s="8"/>
    </row>
    <row r="114" customFormat="false" ht="15" hidden="false" customHeight="false" outlineLevel="0" collapsed="false">
      <c r="A114" s="7" t="s">
        <v>190</v>
      </c>
      <c r="B114" s="10"/>
      <c r="C114" s="8"/>
      <c r="D114" s="9"/>
      <c r="E114" s="13" t="str">
        <f aca="false">IF(B114="","",IFERROR(INDEX(Iniciativas!$J$2:$J$11,MATCH(B114,Iniciativas!$B$2:$B$11,0)),""))</f>
        <v/>
      </c>
      <c r="F114" s="7" t="str">
        <f aca="false">IF(OR(NOT(ISNUMBER(D114)),NOT(ISNUMBER(E114))),"",IF(D114&gt;E114,"Sí","No"))</f>
        <v/>
      </c>
      <c r="G114" s="10"/>
      <c r="H114" s="10"/>
      <c r="I114" s="10"/>
      <c r="J114" s="8"/>
      <c r="K114" s="7" t="str">
        <f aca="false">IF(OR(F114="",I114=""),"",IF(AND(F114="Sí",I114="Sí"),"Sí","No"))</f>
        <v/>
      </c>
      <c r="L114" s="10"/>
      <c r="M114" s="10"/>
      <c r="N114" s="8"/>
      <c r="O114" s="10"/>
      <c r="P114" s="10"/>
      <c r="Q114" s="7" t="str">
        <f aca="false">IF(OR(O114="",P114=""),"",IF(O114=P114,"Sí","No"))</f>
        <v/>
      </c>
      <c r="R114" s="10"/>
      <c r="S114" s="8"/>
      <c r="T114" s="8"/>
    </row>
    <row r="115" customFormat="false" ht="15" hidden="false" customHeight="false" outlineLevel="0" collapsed="false">
      <c r="A115" s="7" t="s">
        <v>191</v>
      </c>
      <c r="B115" s="10"/>
      <c r="C115" s="8"/>
      <c r="D115" s="9"/>
      <c r="E115" s="13" t="str">
        <f aca="false">IF(B115="","",IFERROR(INDEX(Iniciativas!$J$2:$J$11,MATCH(B115,Iniciativas!$B$2:$B$11,0)),""))</f>
        <v/>
      </c>
      <c r="F115" s="7" t="str">
        <f aca="false">IF(OR(NOT(ISNUMBER(D115)),NOT(ISNUMBER(E115))),"",IF(D115&gt;E115,"Sí","No"))</f>
        <v/>
      </c>
      <c r="G115" s="10"/>
      <c r="H115" s="10"/>
      <c r="I115" s="10"/>
      <c r="J115" s="8"/>
      <c r="K115" s="7" t="str">
        <f aca="false">IF(OR(F115="",I115=""),"",IF(AND(F115="Sí",I115="Sí"),"Sí","No"))</f>
        <v/>
      </c>
      <c r="L115" s="10"/>
      <c r="M115" s="10"/>
      <c r="N115" s="8"/>
      <c r="O115" s="10"/>
      <c r="P115" s="10"/>
      <c r="Q115" s="7" t="str">
        <f aca="false">IF(OR(O115="",P115=""),"",IF(O115=P115,"Sí","No"))</f>
        <v/>
      </c>
      <c r="R115" s="10"/>
      <c r="S115" s="8"/>
      <c r="T115" s="8"/>
    </row>
    <row r="116" customFormat="false" ht="15" hidden="false" customHeight="false" outlineLevel="0" collapsed="false">
      <c r="A116" s="7" t="s">
        <v>192</v>
      </c>
      <c r="B116" s="10"/>
      <c r="C116" s="8"/>
      <c r="D116" s="9"/>
      <c r="E116" s="13" t="str">
        <f aca="false">IF(B116="","",IFERROR(INDEX(Iniciativas!$J$2:$J$11,MATCH(B116,Iniciativas!$B$2:$B$11,0)),""))</f>
        <v/>
      </c>
      <c r="F116" s="7" t="str">
        <f aca="false">IF(OR(NOT(ISNUMBER(D116)),NOT(ISNUMBER(E116))),"",IF(D116&gt;E116,"Sí","No"))</f>
        <v/>
      </c>
      <c r="G116" s="10"/>
      <c r="H116" s="10"/>
      <c r="I116" s="10"/>
      <c r="J116" s="8"/>
      <c r="K116" s="7" t="str">
        <f aca="false">IF(OR(F116="",I116=""),"",IF(AND(F116="Sí",I116="Sí"),"Sí","No"))</f>
        <v/>
      </c>
      <c r="L116" s="10"/>
      <c r="M116" s="10"/>
      <c r="N116" s="8"/>
      <c r="O116" s="10"/>
      <c r="P116" s="10"/>
      <c r="Q116" s="7" t="str">
        <f aca="false">IF(OR(O116="",P116=""),"",IF(O116=P116,"Sí","No"))</f>
        <v/>
      </c>
      <c r="R116" s="10"/>
      <c r="S116" s="8"/>
      <c r="T116" s="8"/>
    </row>
    <row r="117" customFormat="false" ht="15" hidden="false" customHeight="false" outlineLevel="0" collapsed="false">
      <c r="A117" s="7" t="s">
        <v>193</v>
      </c>
      <c r="B117" s="10"/>
      <c r="C117" s="8"/>
      <c r="D117" s="9"/>
      <c r="E117" s="13" t="str">
        <f aca="false">IF(B117="","",IFERROR(INDEX(Iniciativas!$J$2:$J$11,MATCH(B117,Iniciativas!$B$2:$B$11,0)),""))</f>
        <v/>
      </c>
      <c r="F117" s="7" t="str">
        <f aca="false">IF(OR(NOT(ISNUMBER(D117)),NOT(ISNUMBER(E117))),"",IF(D117&gt;E117,"Sí","No"))</f>
        <v/>
      </c>
      <c r="G117" s="10"/>
      <c r="H117" s="10"/>
      <c r="I117" s="10"/>
      <c r="J117" s="8"/>
      <c r="K117" s="7" t="str">
        <f aca="false">IF(OR(F117="",I117=""),"",IF(AND(F117="Sí",I117="Sí"),"Sí","No"))</f>
        <v/>
      </c>
      <c r="L117" s="10"/>
      <c r="M117" s="10"/>
      <c r="N117" s="8"/>
      <c r="O117" s="10"/>
      <c r="P117" s="10"/>
      <c r="Q117" s="7" t="str">
        <f aca="false">IF(OR(O117="",P117=""),"",IF(O117=P117,"Sí","No"))</f>
        <v/>
      </c>
      <c r="R117" s="10"/>
      <c r="S117" s="8"/>
      <c r="T117" s="8"/>
    </row>
    <row r="118" customFormat="false" ht="15" hidden="false" customHeight="false" outlineLevel="0" collapsed="false">
      <c r="A118" s="7" t="s">
        <v>194</v>
      </c>
      <c r="B118" s="10"/>
      <c r="C118" s="8"/>
      <c r="D118" s="9"/>
      <c r="E118" s="13" t="str">
        <f aca="false">IF(B118="","",IFERROR(INDEX(Iniciativas!$J$2:$J$11,MATCH(B118,Iniciativas!$B$2:$B$11,0)),""))</f>
        <v/>
      </c>
      <c r="F118" s="7" t="str">
        <f aca="false">IF(OR(NOT(ISNUMBER(D118)),NOT(ISNUMBER(E118))),"",IF(D118&gt;E118,"Sí","No"))</f>
        <v/>
      </c>
      <c r="G118" s="10"/>
      <c r="H118" s="10"/>
      <c r="I118" s="10"/>
      <c r="J118" s="8"/>
      <c r="K118" s="7" t="str">
        <f aca="false">IF(OR(F118="",I118=""),"",IF(AND(F118="Sí",I118="Sí"),"Sí","No"))</f>
        <v/>
      </c>
      <c r="L118" s="10"/>
      <c r="M118" s="10"/>
      <c r="N118" s="8"/>
      <c r="O118" s="10"/>
      <c r="P118" s="10"/>
      <c r="Q118" s="7" t="str">
        <f aca="false">IF(OR(O118="",P118=""),"",IF(O118=P118,"Sí","No"))</f>
        <v/>
      </c>
      <c r="R118" s="10"/>
      <c r="S118" s="8"/>
      <c r="T118" s="8"/>
    </row>
    <row r="119" customFormat="false" ht="15" hidden="false" customHeight="false" outlineLevel="0" collapsed="false">
      <c r="A119" s="7" t="s">
        <v>195</v>
      </c>
      <c r="B119" s="10"/>
      <c r="C119" s="8"/>
      <c r="D119" s="9"/>
      <c r="E119" s="13" t="str">
        <f aca="false">IF(B119="","",IFERROR(INDEX(Iniciativas!$J$2:$J$11,MATCH(B119,Iniciativas!$B$2:$B$11,0)),""))</f>
        <v/>
      </c>
      <c r="F119" s="7" t="str">
        <f aca="false">IF(OR(NOT(ISNUMBER(D119)),NOT(ISNUMBER(E119))),"",IF(D119&gt;E119,"Sí","No"))</f>
        <v/>
      </c>
      <c r="G119" s="10"/>
      <c r="H119" s="10"/>
      <c r="I119" s="10"/>
      <c r="J119" s="8"/>
      <c r="K119" s="7" t="str">
        <f aca="false">IF(OR(F119="",I119=""),"",IF(AND(F119="Sí",I119="Sí"),"Sí","No"))</f>
        <v/>
      </c>
      <c r="L119" s="10"/>
      <c r="M119" s="10"/>
      <c r="N119" s="8"/>
      <c r="O119" s="10"/>
      <c r="P119" s="10"/>
      <c r="Q119" s="7" t="str">
        <f aca="false">IF(OR(O119="",P119=""),"",IF(O119=P119,"Sí","No"))</f>
        <v/>
      </c>
      <c r="R119" s="10"/>
      <c r="S119" s="8"/>
      <c r="T119" s="8"/>
    </row>
    <row r="120" customFormat="false" ht="15" hidden="false" customHeight="false" outlineLevel="0" collapsed="false">
      <c r="A120" s="7" t="s">
        <v>196</v>
      </c>
      <c r="B120" s="10"/>
      <c r="C120" s="8"/>
      <c r="D120" s="9"/>
      <c r="E120" s="13" t="str">
        <f aca="false">IF(B120="","",IFERROR(INDEX(Iniciativas!$J$2:$J$11,MATCH(B120,Iniciativas!$B$2:$B$11,0)),""))</f>
        <v/>
      </c>
      <c r="F120" s="7" t="str">
        <f aca="false">IF(OR(NOT(ISNUMBER(D120)),NOT(ISNUMBER(E120))),"",IF(D120&gt;E120,"Sí","No"))</f>
        <v/>
      </c>
      <c r="G120" s="10"/>
      <c r="H120" s="10"/>
      <c r="I120" s="10"/>
      <c r="J120" s="8"/>
      <c r="K120" s="7" t="str">
        <f aca="false">IF(OR(F120="",I120=""),"",IF(AND(F120="Sí",I120="Sí"),"Sí","No"))</f>
        <v/>
      </c>
      <c r="L120" s="10"/>
      <c r="M120" s="10"/>
      <c r="N120" s="8"/>
      <c r="O120" s="10"/>
      <c r="P120" s="10"/>
      <c r="Q120" s="7" t="str">
        <f aca="false">IF(OR(O120="",P120=""),"",IF(O120=P120,"Sí","No"))</f>
        <v/>
      </c>
      <c r="R120" s="10"/>
      <c r="S120" s="8"/>
      <c r="T120" s="8"/>
    </row>
    <row r="121" customFormat="false" ht="15" hidden="false" customHeight="false" outlineLevel="0" collapsed="false">
      <c r="A121" s="7" t="s">
        <v>197</v>
      </c>
      <c r="B121" s="10"/>
      <c r="C121" s="8"/>
      <c r="D121" s="9"/>
      <c r="E121" s="13" t="str">
        <f aca="false">IF(B121="","",IFERROR(INDEX(Iniciativas!$J$2:$J$11,MATCH(B121,Iniciativas!$B$2:$B$11,0)),""))</f>
        <v/>
      </c>
      <c r="F121" s="7" t="str">
        <f aca="false">IF(OR(NOT(ISNUMBER(D121)),NOT(ISNUMBER(E121))),"",IF(D121&gt;E121,"Sí","No"))</f>
        <v/>
      </c>
      <c r="G121" s="10"/>
      <c r="H121" s="10"/>
      <c r="I121" s="10"/>
      <c r="J121" s="8"/>
      <c r="K121" s="7" t="str">
        <f aca="false">IF(OR(F121="",I121=""),"",IF(AND(F121="Sí",I121="Sí"),"Sí","No"))</f>
        <v/>
      </c>
      <c r="L121" s="10"/>
      <c r="M121" s="10"/>
      <c r="N121" s="8"/>
      <c r="O121" s="10"/>
      <c r="P121" s="10"/>
      <c r="Q121" s="7" t="str">
        <f aca="false">IF(OR(O121="",P121=""),"",IF(O121=P121,"Sí","No"))</f>
        <v/>
      </c>
      <c r="R121" s="10"/>
      <c r="S121" s="8"/>
      <c r="T121" s="8"/>
    </row>
    <row r="122" customFormat="false" ht="15" hidden="false" customHeight="false" outlineLevel="0" collapsed="false">
      <c r="A122" s="7" t="s">
        <v>198</v>
      </c>
      <c r="B122" s="10"/>
      <c r="C122" s="8"/>
      <c r="D122" s="9"/>
      <c r="E122" s="13" t="str">
        <f aca="false">IF(B122="","",IFERROR(INDEX(Iniciativas!$J$2:$J$11,MATCH(B122,Iniciativas!$B$2:$B$11,0)),""))</f>
        <v/>
      </c>
      <c r="F122" s="7" t="str">
        <f aca="false">IF(OR(NOT(ISNUMBER(D122)),NOT(ISNUMBER(E122))),"",IF(D122&gt;E122,"Sí","No"))</f>
        <v/>
      </c>
      <c r="G122" s="10"/>
      <c r="H122" s="10"/>
      <c r="I122" s="10"/>
      <c r="J122" s="8"/>
      <c r="K122" s="7" t="str">
        <f aca="false">IF(OR(F122="",I122=""),"",IF(AND(F122="Sí",I122="Sí"),"Sí","No"))</f>
        <v/>
      </c>
      <c r="L122" s="10"/>
      <c r="M122" s="10"/>
      <c r="N122" s="8"/>
      <c r="O122" s="10"/>
      <c r="P122" s="10"/>
      <c r="Q122" s="7" t="str">
        <f aca="false">IF(OR(O122="",P122=""),"",IF(O122=P122,"Sí","No"))</f>
        <v/>
      </c>
      <c r="R122" s="10"/>
      <c r="S122" s="8"/>
      <c r="T122" s="8"/>
    </row>
    <row r="123" customFormat="false" ht="15" hidden="false" customHeight="false" outlineLevel="0" collapsed="false">
      <c r="A123" s="7" t="s">
        <v>199</v>
      </c>
      <c r="B123" s="10"/>
      <c r="C123" s="8"/>
      <c r="D123" s="9"/>
      <c r="E123" s="13" t="str">
        <f aca="false">IF(B123="","",IFERROR(INDEX(Iniciativas!$J$2:$J$11,MATCH(B123,Iniciativas!$B$2:$B$11,0)),""))</f>
        <v/>
      </c>
      <c r="F123" s="7" t="str">
        <f aca="false">IF(OR(NOT(ISNUMBER(D123)),NOT(ISNUMBER(E123))),"",IF(D123&gt;E123,"Sí","No"))</f>
        <v/>
      </c>
      <c r="G123" s="10"/>
      <c r="H123" s="10"/>
      <c r="I123" s="10"/>
      <c r="J123" s="8"/>
      <c r="K123" s="7" t="str">
        <f aca="false">IF(OR(F123="",I123=""),"",IF(AND(F123="Sí",I123="Sí"),"Sí","No"))</f>
        <v/>
      </c>
      <c r="L123" s="10"/>
      <c r="M123" s="10"/>
      <c r="N123" s="8"/>
      <c r="O123" s="10"/>
      <c r="P123" s="10"/>
      <c r="Q123" s="7" t="str">
        <f aca="false">IF(OR(O123="",P123=""),"",IF(O123=P123,"Sí","No"))</f>
        <v/>
      </c>
      <c r="R123" s="10"/>
      <c r="S123" s="8"/>
      <c r="T123" s="8"/>
    </row>
    <row r="124" customFormat="false" ht="15" hidden="false" customHeight="false" outlineLevel="0" collapsed="false">
      <c r="A124" s="7" t="s">
        <v>200</v>
      </c>
      <c r="B124" s="10"/>
      <c r="C124" s="8"/>
      <c r="D124" s="9"/>
      <c r="E124" s="13" t="str">
        <f aca="false">IF(B124="","",IFERROR(INDEX(Iniciativas!$J$2:$J$11,MATCH(B124,Iniciativas!$B$2:$B$11,0)),""))</f>
        <v/>
      </c>
      <c r="F124" s="7" t="str">
        <f aca="false">IF(OR(NOT(ISNUMBER(D124)),NOT(ISNUMBER(E124))),"",IF(D124&gt;E124,"Sí","No"))</f>
        <v/>
      </c>
      <c r="G124" s="10"/>
      <c r="H124" s="10"/>
      <c r="I124" s="10"/>
      <c r="J124" s="8"/>
      <c r="K124" s="7" t="str">
        <f aca="false">IF(OR(F124="",I124=""),"",IF(AND(F124="Sí",I124="Sí"),"Sí","No"))</f>
        <v/>
      </c>
      <c r="L124" s="10"/>
      <c r="M124" s="10"/>
      <c r="N124" s="8"/>
      <c r="O124" s="10"/>
      <c r="P124" s="10"/>
      <c r="Q124" s="7" t="str">
        <f aca="false">IF(OR(O124="",P124=""),"",IF(O124=P124,"Sí","No"))</f>
        <v/>
      </c>
      <c r="R124" s="10"/>
      <c r="S124" s="8"/>
      <c r="T124" s="8"/>
    </row>
    <row r="125" customFormat="false" ht="15" hidden="false" customHeight="false" outlineLevel="0" collapsed="false">
      <c r="A125" s="7" t="s">
        <v>201</v>
      </c>
      <c r="B125" s="10"/>
      <c r="C125" s="8"/>
      <c r="D125" s="9"/>
      <c r="E125" s="13" t="str">
        <f aca="false">IF(B125="","",IFERROR(INDEX(Iniciativas!$J$2:$J$11,MATCH(B125,Iniciativas!$B$2:$B$11,0)),""))</f>
        <v/>
      </c>
      <c r="F125" s="7" t="str">
        <f aca="false">IF(OR(NOT(ISNUMBER(D125)),NOT(ISNUMBER(E125))),"",IF(D125&gt;E125,"Sí","No"))</f>
        <v/>
      </c>
      <c r="G125" s="10"/>
      <c r="H125" s="10"/>
      <c r="I125" s="10"/>
      <c r="J125" s="8"/>
      <c r="K125" s="7" t="str">
        <f aca="false">IF(OR(F125="",I125=""),"",IF(AND(F125="Sí",I125="Sí"),"Sí","No"))</f>
        <v/>
      </c>
      <c r="L125" s="10"/>
      <c r="M125" s="10"/>
      <c r="N125" s="8"/>
      <c r="O125" s="10"/>
      <c r="P125" s="10"/>
      <c r="Q125" s="7" t="str">
        <f aca="false">IF(OR(O125="",P125=""),"",IF(O125=P125,"Sí","No"))</f>
        <v/>
      </c>
      <c r="R125" s="10"/>
      <c r="S125" s="8"/>
      <c r="T125" s="8"/>
    </row>
    <row r="126" customFormat="false" ht="15" hidden="false" customHeight="false" outlineLevel="0" collapsed="false">
      <c r="A126" s="7" t="s">
        <v>202</v>
      </c>
      <c r="B126" s="10"/>
      <c r="C126" s="8"/>
      <c r="D126" s="9"/>
      <c r="E126" s="13" t="str">
        <f aca="false">IF(B126="","",IFERROR(INDEX(Iniciativas!$J$2:$J$11,MATCH(B126,Iniciativas!$B$2:$B$11,0)),""))</f>
        <v/>
      </c>
      <c r="F126" s="7" t="str">
        <f aca="false">IF(OR(NOT(ISNUMBER(D126)),NOT(ISNUMBER(E126))),"",IF(D126&gt;E126,"Sí","No"))</f>
        <v/>
      </c>
      <c r="G126" s="10"/>
      <c r="H126" s="10"/>
      <c r="I126" s="10"/>
      <c r="J126" s="8"/>
      <c r="K126" s="7" t="str">
        <f aca="false">IF(OR(F126="",I126=""),"",IF(AND(F126="Sí",I126="Sí"),"Sí","No"))</f>
        <v/>
      </c>
      <c r="L126" s="10"/>
      <c r="M126" s="10"/>
      <c r="N126" s="8"/>
      <c r="O126" s="10"/>
      <c r="P126" s="10"/>
      <c r="Q126" s="7" t="str">
        <f aca="false">IF(OR(O126="",P126=""),"",IF(O126=P126,"Sí","No"))</f>
        <v/>
      </c>
      <c r="R126" s="10"/>
      <c r="S126" s="8"/>
      <c r="T126" s="8"/>
    </row>
    <row r="127" customFormat="false" ht="15" hidden="false" customHeight="false" outlineLevel="0" collapsed="false">
      <c r="A127" s="7" t="s">
        <v>203</v>
      </c>
      <c r="B127" s="10"/>
      <c r="C127" s="8"/>
      <c r="D127" s="9"/>
      <c r="E127" s="13" t="str">
        <f aca="false">IF(B127="","",IFERROR(INDEX(Iniciativas!$J$2:$J$11,MATCH(B127,Iniciativas!$B$2:$B$11,0)),""))</f>
        <v/>
      </c>
      <c r="F127" s="7" t="str">
        <f aca="false">IF(OR(NOT(ISNUMBER(D127)),NOT(ISNUMBER(E127))),"",IF(D127&gt;E127,"Sí","No"))</f>
        <v/>
      </c>
      <c r="G127" s="10"/>
      <c r="H127" s="10"/>
      <c r="I127" s="10"/>
      <c r="J127" s="8"/>
      <c r="K127" s="7" t="str">
        <f aca="false">IF(OR(F127="",I127=""),"",IF(AND(F127="Sí",I127="Sí"),"Sí","No"))</f>
        <v/>
      </c>
      <c r="L127" s="10"/>
      <c r="M127" s="10"/>
      <c r="N127" s="8"/>
      <c r="O127" s="10"/>
      <c r="P127" s="10"/>
      <c r="Q127" s="7" t="str">
        <f aca="false">IF(OR(O127="",P127=""),"",IF(O127=P127,"Sí","No"))</f>
        <v/>
      </c>
      <c r="R127" s="10"/>
      <c r="S127" s="8"/>
      <c r="T127" s="8"/>
    </row>
    <row r="128" customFormat="false" ht="15" hidden="false" customHeight="false" outlineLevel="0" collapsed="false">
      <c r="A128" s="7" t="s">
        <v>204</v>
      </c>
      <c r="B128" s="10"/>
      <c r="C128" s="8"/>
      <c r="D128" s="9"/>
      <c r="E128" s="13" t="str">
        <f aca="false">IF(B128="","",IFERROR(INDEX(Iniciativas!$J$2:$J$11,MATCH(B128,Iniciativas!$B$2:$B$11,0)),""))</f>
        <v/>
      </c>
      <c r="F128" s="7" t="str">
        <f aca="false">IF(OR(NOT(ISNUMBER(D128)),NOT(ISNUMBER(E128))),"",IF(D128&gt;E128,"Sí","No"))</f>
        <v/>
      </c>
      <c r="G128" s="10"/>
      <c r="H128" s="10"/>
      <c r="I128" s="10"/>
      <c r="J128" s="8"/>
      <c r="K128" s="7" t="str">
        <f aca="false">IF(OR(F128="",I128=""),"",IF(AND(F128="Sí",I128="Sí"),"Sí","No"))</f>
        <v/>
      </c>
      <c r="L128" s="10"/>
      <c r="M128" s="10"/>
      <c r="N128" s="8"/>
      <c r="O128" s="10"/>
      <c r="P128" s="10"/>
      <c r="Q128" s="7" t="str">
        <f aca="false">IF(OR(O128="",P128=""),"",IF(O128=P128,"Sí","No"))</f>
        <v/>
      </c>
      <c r="R128" s="10"/>
      <c r="S128" s="8"/>
      <c r="T128" s="8"/>
    </row>
    <row r="129" customFormat="false" ht="15" hidden="false" customHeight="false" outlineLevel="0" collapsed="false">
      <c r="A129" s="7" t="s">
        <v>205</v>
      </c>
      <c r="B129" s="10"/>
      <c r="C129" s="8"/>
      <c r="D129" s="9"/>
      <c r="E129" s="13" t="str">
        <f aca="false">IF(B129="","",IFERROR(INDEX(Iniciativas!$J$2:$J$11,MATCH(B129,Iniciativas!$B$2:$B$11,0)),""))</f>
        <v/>
      </c>
      <c r="F129" s="7" t="str">
        <f aca="false">IF(OR(NOT(ISNUMBER(D129)),NOT(ISNUMBER(E129))),"",IF(D129&gt;E129,"Sí","No"))</f>
        <v/>
      </c>
      <c r="G129" s="10"/>
      <c r="H129" s="10"/>
      <c r="I129" s="10"/>
      <c r="J129" s="8"/>
      <c r="K129" s="7" t="str">
        <f aca="false">IF(OR(F129="",I129=""),"",IF(AND(F129="Sí",I129="Sí"),"Sí","No"))</f>
        <v/>
      </c>
      <c r="L129" s="10"/>
      <c r="M129" s="10"/>
      <c r="N129" s="8"/>
      <c r="O129" s="10"/>
      <c r="P129" s="10"/>
      <c r="Q129" s="7" t="str">
        <f aca="false">IF(OR(O129="",P129=""),"",IF(O129=P129,"Sí","No"))</f>
        <v/>
      </c>
      <c r="R129" s="10"/>
      <c r="S129" s="8"/>
      <c r="T129" s="8"/>
    </row>
    <row r="130" customFormat="false" ht="15" hidden="false" customHeight="false" outlineLevel="0" collapsed="false">
      <c r="A130" s="7" t="s">
        <v>206</v>
      </c>
      <c r="B130" s="10"/>
      <c r="C130" s="8"/>
      <c r="D130" s="9"/>
      <c r="E130" s="13" t="str">
        <f aca="false">IF(B130="","",IFERROR(INDEX(Iniciativas!$J$2:$J$11,MATCH(B130,Iniciativas!$B$2:$B$11,0)),""))</f>
        <v/>
      </c>
      <c r="F130" s="7" t="str">
        <f aca="false">IF(OR(NOT(ISNUMBER(D130)),NOT(ISNUMBER(E130))),"",IF(D130&gt;E130,"Sí","No"))</f>
        <v/>
      </c>
      <c r="G130" s="10"/>
      <c r="H130" s="10"/>
      <c r="I130" s="10"/>
      <c r="J130" s="8"/>
      <c r="K130" s="7" t="str">
        <f aca="false">IF(OR(F130="",I130=""),"",IF(AND(F130="Sí",I130="Sí"),"Sí","No"))</f>
        <v/>
      </c>
      <c r="L130" s="10"/>
      <c r="M130" s="10"/>
      <c r="N130" s="8"/>
      <c r="O130" s="10"/>
      <c r="P130" s="10"/>
      <c r="Q130" s="7" t="str">
        <f aca="false">IF(OR(O130="",P130=""),"",IF(O130=P130,"Sí","No"))</f>
        <v/>
      </c>
      <c r="R130" s="10"/>
      <c r="S130" s="8"/>
      <c r="T130" s="8"/>
    </row>
    <row r="131" customFormat="false" ht="15" hidden="false" customHeight="false" outlineLevel="0" collapsed="false">
      <c r="A131" s="7" t="s">
        <v>207</v>
      </c>
      <c r="B131" s="10"/>
      <c r="C131" s="8"/>
      <c r="D131" s="9"/>
      <c r="E131" s="13" t="str">
        <f aca="false">IF(B131="","",IFERROR(INDEX(Iniciativas!$J$2:$J$11,MATCH(B131,Iniciativas!$B$2:$B$11,0)),""))</f>
        <v/>
      </c>
      <c r="F131" s="7" t="str">
        <f aca="false">IF(OR(NOT(ISNUMBER(D131)),NOT(ISNUMBER(E131))),"",IF(D131&gt;E131,"Sí","No"))</f>
        <v/>
      </c>
      <c r="G131" s="10"/>
      <c r="H131" s="10"/>
      <c r="I131" s="10"/>
      <c r="J131" s="8"/>
      <c r="K131" s="7" t="str">
        <f aca="false">IF(OR(F131="",I131=""),"",IF(AND(F131="Sí",I131="Sí"),"Sí","No"))</f>
        <v/>
      </c>
      <c r="L131" s="10"/>
      <c r="M131" s="10"/>
      <c r="N131" s="8"/>
      <c r="O131" s="10"/>
      <c r="P131" s="10"/>
      <c r="Q131" s="7" t="str">
        <f aca="false">IF(OR(O131="",P131=""),"",IF(O131=P131,"Sí","No"))</f>
        <v/>
      </c>
      <c r="R131" s="10"/>
      <c r="S131" s="8"/>
      <c r="T131" s="8"/>
    </row>
    <row r="132" customFormat="false" ht="15" hidden="false" customHeight="false" outlineLevel="0" collapsed="false">
      <c r="A132" s="7" t="s">
        <v>208</v>
      </c>
      <c r="B132" s="10"/>
      <c r="C132" s="8"/>
      <c r="D132" s="9"/>
      <c r="E132" s="13" t="str">
        <f aca="false">IF(B132="","",IFERROR(INDEX(Iniciativas!$J$2:$J$11,MATCH(B132,Iniciativas!$B$2:$B$11,0)),""))</f>
        <v/>
      </c>
      <c r="F132" s="7" t="str">
        <f aca="false">IF(OR(NOT(ISNUMBER(D132)),NOT(ISNUMBER(E132))),"",IF(D132&gt;E132,"Sí","No"))</f>
        <v/>
      </c>
      <c r="G132" s="10"/>
      <c r="H132" s="10"/>
      <c r="I132" s="10"/>
      <c r="J132" s="8"/>
      <c r="K132" s="7" t="str">
        <f aca="false">IF(OR(F132="",I132=""),"",IF(AND(F132="Sí",I132="Sí"),"Sí","No"))</f>
        <v/>
      </c>
      <c r="L132" s="10"/>
      <c r="M132" s="10"/>
      <c r="N132" s="8"/>
      <c r="O132" s="10"/>
      <c r="P132" s="10"/>
      <c r="Q132" s="7" t="str">
        <f aca="false">IF(OR(O132="",P132=""),"",IF(O132=P132,"Sí","No"))</f>
        <v/>
      </c>
      <c r="R132" s="10"/>
      <c r="S132" s="8"/>
      <c r="T132" s="8"/>
    </row>
    <row r="133" customFormat="false" ht="15" hidden="false" customHeight="false" outlineLevel="0" collapsed="false">
      <c r="A133" s="7" t="s">
        <v>209</v>
      </c>
      <c r="B133" s="10"/>
      <c r="C133" s="8"/>
      <c r="D133" s="9"/>
      <c r="E133" s="13" t="str">
        <f aca="false">IF(B133="","",IFERROR(INDEX(Iniciativas!$J$2:$J$11,MATCH(B133,Iniciativas!$B$2:$B$11,0)),""))</f>
        <v/>
      </c>
      <c r="F133" s="7" t="str">
        <f aca="false">IF(OR(NOT(ISNUMBER(D133)),NOT(ISNUMBER(E133))),"",IF(D133&gt;E133,"Sí","No"))</f>
        <v/>
      </c>
      <c r="G133" s="10"/>
      <c r="H133" s="10"/>
      <c r="I133" s="10"/>
      <c r="J133" s="8"/>
      <c r="K133" s="7" t="str">
        <f aca="false">IF(OR(F133="",I133=""),"",IF(AND(F133="Sí",I133="Sí"),"Sí","No"))</f>
        <v/>
      </c>
      <c r="L133" s="10"/>
      <c r="M133" s="10"/>
      <c r="N133" s="8"/>
      <c r="O133" s="10"/>
      <c r="P133" s="10"/>
      <c r="Q133" s="7" t="str">
        <f aca="false">IF(OR(O133="",P133=""),"",IF(O133=P133,"Sí","No"))</f>
        <v/>
      </c>
      <c r="R133" s="10"/>
      <c r="S133" s="8"/>
      <c r="T133" s="8"/>
    </row>
    <row r="134" customFormat="false" ht="15" hidden="false" customHeight="false" outlineLevel="0" collapsed="false">
      <c r="A134" s="7" t="s">
        <v>210</v>
      </c>
      <c r="B134" s="10"/>
      <c r="C134" s="8"/>
      <c r="D134" s="9"/>
      <c r="E134" s="13" t="str">
        <f aca="false">IF(B134="","",IFERROR(INDEX(Iniciativas!$J$2:$J$11,MATCH(B134,Iniciativas!$B$2:$B$11,0)),""))</f>
        <v/>
      </c>
      <c r="F134" s="7" t="str">
        <f aca="false">IF(OR(NOT(ISNUMBER(D134)),NOT(ISNUMBER(E134))),"",IF(D134&gt;E134,"Sí","No"))</f>
        <v/>
      </c>
      <c r="G134" s="10"/>
      <c r="H134" s="10"/>
      <c r="I134" s="10"/>
      <c r="J134" s="8"/>
      <c r="K134" s="7" t="str">
        <f aca="false">IF(OR(F134="",I134=""),"",IF(AND(F134="Sí",I134="Sí"),"Sí","No"))</f>
        <v/>
      </c>
      <c r="L134" s="10"/>
      <c r="M134" s="10"/>
      <c r="N134" s="8"/>
      <c r="O134" s="10"/>
      <c r="P134" s="10"/>
      <c r="Q134" s="7" t="str">
        <f aca="false">IF(OR(O134="",P134=""),"",IF(O134=P134,"Sí","No"))</f>
        <v/>
      </c>
      <c r="R134" s="10"/>
      <c r="S134" s="8"/>
      <c r="T134" s="8"/>
    </row>
    <row r="135" customFormat="false" ht="15" hidden="false" customHeight="false" outlineLevel="0" collapsed="false">
      <c r="A135" s="7" t="s">
        <v>211</v>
      </c>
      <c r="B135" s="10"/>
      <c r="C135" s="8"/>
      <c r="D135" s="9"/>
      <c r="E135" s="13" t="str">
        <f aca="false">IF(B135="","",IFERROR(INDEX(Iniciativas!$J$2:$J$11,MATCH(B135,Iniciativas!$B$2:$B$11,0)),""))</f>
        <v/>
      </c>
      <c r="F135" s="7" t="str">
        <f aca="false">IF(OR(NOT(ISNUMBER(D135)),NOT(ISNUMBER(E135))),"",IF(D135&gt;E135,"Sí","No"))</f>
        <v/>
      </c>
      <c r="G135" s="10"/>
      <c r="H135" s="10"/>
      <c r="I135" s="10"/>
      <c r="J135" s="8"/>
      <c r="K135" s="7" t="str">
        <f aca="false">IF(OR(F135="",I135=""),"",IF(AND(F135="Sí",I135="Sí"),"Sí","No"))</f>
        <v/>
      </c>
      <c r="L135" s="10"/>
      <c r="M135" s="10"/>
      <c r="N135" s="8"/>
      <c r="O135" s="10"/>
      <c r="P135" s="10"/>
      <c r="Q135" s="7" t="str">
        <f aca="false">IF(OR(O135="",P135=""),"",IF(O135=P135,"Sí","No"))</f>
        <v/>
      </c>
      <c r="R135" s="10"/>
      <c r="S135" s="8"/>
      <c r="T135" s="8"/>
    </row>
    <row r="136" customFormat="false" ht="15" hidden="false" customHeight="false" outlineLevel="0" collapsed="false">
      <c r="A136" s="7" t="s">
        <v>212</v>
      </c>
      <c r="B136" s="10"/>
      <c r="C136" s="8"/>
      <c r="D136" s="9"/>
      <c r="E136" s="13" t="str">
        <f aca="false">IF(B136="","",IFERROR(INDEX(Iniciativas!$J$2:$J$11,MATCH(B136,Iniciativas!$B$2:$B$11,0)),""))</f>
        <v/>
      </c>
      <c r="F136" s="7" t="str">
        <f aca="false">IF(OR(NOT(ISNUMBER(D136)),NOT(ISNUMBER(E136))),"",IF(D136&gt;E136,"Sí","No"))</f>
        <v/>
      </c>
      <c r="G136" s="10"/>
      <c r="H136" s="10"/>
      <c r="I136" s="10"/>
      <c r="J136" s="8"/>
      <c r="K136" s="7" t="str">
        <f aca="false">IF(OR(F136="",I136=""),"",IF(AND(F136="Sí",I136="Sí"),"Sí","No"))</f>
        <v/>
      </c>
      <c r="L136" s="10"/>
      <c r="M136" s="10"/>
      <c r="N136" s="8"/>
      <c r="O136" s="10"/>
      <c r="P136" s="10"/>
      <c r="Q136" s="7" t="str">
        <f aca="false">IF(OR(O136="",P136=""),"",IF(O136=P136,"Sí","No"))</f>
        <v/>
      </c>
      <c r="R136" s="10"/>
      <c r="S136" s="8"/>
      <c r="T136" s="8"/>
    </row>
    <row r="137" customFormat="false" ht="15" hidden="false" customHeight="false" outlineLevel="0" collapsed="false">
      <c r="A137" s="7" t="s">
        <v>213</v>
      </c>
      <c r="B137" s="10"/>
      <c r="C137" s="8"/>
      <c r="D137" s="9"/>
      <c r="E137" s="13" t="str">
        <f aca="false">IF(B137="","",IFERROR(INDEX(Iniciativas!$J$2:$J$11,MATCH(B137,Iniciativas!$B$2:$B$11,0)),""))</f>
        <v/>
      </c>
      <c r="F137" s="7" t="str">
        <f aca="false">IF(OR(NOT(ISNUMBER(D137)),NOT(ISNUMBER(E137))),"",IF(D137&gt;E137,"Sí","No"))</f>
        <v/>
      </c>
      <c r="G137" s="10"/>
      <c r="H137" s="10"/>
      <c r="I137" s="10"/>
      <c r="J137" s="8"/>
      <c r="K137" s="7" t="str">
        <f aca="false">IF(OR(F137="",I137=""),"",IF(AND(F137="Sí",I137="Sí"),"Sí","No"))</f>
        <v/>
      </c>
      <c r="L137" s="10"/>
      <c r="M137" s="10"/>
      <c r="N137" s="8"/>
      <c r="O137" s="10"/>
      <c r="P137" s="10"/>
      <c r="Q137" s="7" t="str">
        <f aca="false">IF(OR(O137="",P137=""),"",IF(O137=P137,"Sí","No"))</f>
        <v/>
      </c>
      <c r="R137" s="10"/>
      <c r="S137" s="8"/>
      <c r="T137" s="8"/>
    </row>
    <row r="138" customFormat="false" ht="15" hidden="false" customHeight="false" outlineLevel="0" collapsed="false">
      <c r="A138" s="7" t="s">
        <v>214</v>
      </c>
      <c r="B138" s="10"/>
      <c r="C138" s="8"/>
      <c r="D138" s="9"/>
      <c r="E138" s="13" t="str">
        <f aca="false">IF(B138="","",IFERROR(INDEX(Iniciativas!$J$2:$J$11,MATCH(B138,Iniciativas!$B$2:$B$11,0)),""))</f>
        <v/>
      </c>
      <c r="F138" s="7" t="str">
        <f aca="false">IF(OR(NOT(ISNUMBER(D138)),NOT(ISNUMBER(E138))),"",IF(D138&gt;E138,"Sí","No"))</f>
        <v/>
      </c>
      <c r="G138" s="10"/>
      <c r="H138" s="10"/>
      <c r="I138" s="10"/>
      <c r="J138" s="8"/>
      <c r="K138" s="7" t="str">
        <f aca="false">IF(OR(F138="",I138=""),"",IF(AND(F138="Sí",I138="Sí"),"Sí","No"))</f>
        <v/>
      </c>
      <c r="L138" s="10"/>
      <c r="M138" s="10"/>
      <c r="N138" s="8"/>
      <c r="O138" s="10"/>
      <c r="P138" s="10"/>
      <c r="Q138" s="7" t="str">
        <f aca="false">IF(OR(O138="",P138=""),"",IF(O138=P138,"Sí","No"))</f>
        <v/>
      </c>
      <c r="R138" s="10"/>
      <c r="S138" s="8"/>
      <c r="T138" s="8"/>
    </row>
    <row r="139" customFormat="false" ht="15" hidden="false" customHeight="false" outlineLevel="0" collapsed="false">
      <c r="A139" s="7" t="s">
        <v>215</v>
      </c>
      <c r="B139" s="10"/>
      <c r="C139" s="8"/>
      <c r="D139" s="9"/>
      <c r="E139" s="13" t="str">
        <f aca="false">IF(B139="","",IFERROR(INDEX(Iniciativas!$J$2:$J$11,MATCH(B139,Iniciativas!$B$2:$B$11,0)),""))</f>
        <v/>
      </c>
      <c r="F139" s="7" t="str">
        <f aca="false">IF(OR(NOT(ISNUMBER(D139)),NOT(ISNUMBER(E139))),"",IF(D139&gt;E139,"Sí","No"))</f>
        <v/>
      </c>
      <c r="G139" s="10"/>
      <c r="H139" s="10"/>
      <c r="I139" s="10"/>
      <c r="J139" s="8"/>
      <c r="K139" s="7" t="str">
        <f aca="false">IF(OR(F139="",I139=""),"",IF(AND(F139="Sí",I139="Sí"),"Sí","No"))</f>
        <v/>
      </c>
      <c r="L139" s="10"/>
      <c r="M139" s="10"/>
      <c r="N139" s="8"/>
      <c r="O139" s="10"/>
      <c r="P139" s="10"/>
      <c r="Q139" s="7" t="str">
        <f aca="false">IF(OR(O139="",P139=""),"",IF(O139=P139,"Sí","No"))</f>
        <v/>
      </c>
      <c r="R139" s="10"/>
      <c r="S139" s="8"/>
      <c r="T139" s="8"/>
    </row>
    <row r="140" customFormat="false" ht="15" hidden="false" customHeight="false" outlineLevel="0" collapsed="false">
      <c r="A140" s="7" t="s">
        <v>216</v>
      </c>
      <c r="B140" s="10"/>
      <c r="C140" s="8"/>
      <c r="D140" s="9"/>
      <c r="E140" s="13" t="str">
        <f aca="false">IF(B140="","",IFERROR(INDEX(Iniciativas!$J$2:$J$11,MATCH(B140,Iniciativas!$B$2:$B$11,0)),""))</f>
        <v/>
      </c>
      <c r="F140" s="7" t="str">
        <f aca="false">IF(OR(NOT(ISNUMBER(D140)),NOT(ISNUMBER(E140))),"",IF(D140&gt;E140,"Sí","No"))</f>
        <v/>
      </c>
      <c r="G140" s="10"/>
      <c r="H140" s="10"/>
      <c r="I140" s="10"/>
      <c r="J140" s="8"/>
      <c r="K140" s="7" t="str">
        <f aca="false">IF(OR(F140="",I140=""),"",IF(AND(F140="Sí",I140="Sí"),"Sí","No"))</f>
        <v/>
      </c>
      <c r="L140" s="10"/>
      <c r="M140" s="10"/>
      <c r="N140" s="8"/>
      <c r="O140" s="10"/>
      <c r="P140" s="10"/>
      <c r="Q140" s="7" t="str">
        <f aca="false">IF(OR(O140="",P140=""),"",IF(O140=P140,"Sí","No"))</f>
        <v/>
      </c>
      <c r="R140" s="10"/>
      <c r="S140" s="8"/>
      <c r="T140" s="8"/>
    </row>
    <row r="141" customFormat="false" ht="15" hidden="false" customHeight="false" outlineLevel="0" collapsed="false">
      <c r="A141" s="7" t="s">
        <v>217</v>
      </c>
      <c r="B141" s="10"/>
      <c r="C141" s="8"/>
      <c r="D141" s="9"/>
      <c r="E141" s="13" t="str">
        <f aca="false">IF(B141="","",IFERROR(INDEX(Iniciativas!$J$2:$J$11,MATCH(B141,Iniciativas!$B$2:$B$11,0)),""))</f>
        <v/>
      </c>
      <c r="F141" s="7" t="str">
        <f aca="false">IF(OR(NOT(ISNUMBER(D141)),NOT(ISNUMBER(E141))),"",IF(D141&gt;E141,"Sí","No"))</f>
        <v/>
      </c>
      <c r="G141" s="10"/>
      <c r="H141" s="10"/>
      <c r="I141" s="10"/>
      <c r="J141" s="8"/>
      <c r="K141" s="7" t="str">
        <f aca="false">IF(OR(F141="",I141=""),"",IF(AND(F141="Sí",I141="Sí"),"Sí","No"))</f>
        <v/>
      </c>
      <c r="L141" s="10"/>
      <c r="M141" s="10"/>
      <c r="N141" s="8"/>
      <c r="O141" s="10"/>
      <c r="P141" s="10"/>
      <c r="Q141" s="7" t="str">
        <f aca="false">IF(OR(O141="",P141=""),"",IF(O141=P141,"Sí","No"))</f>
        <v/>
      </c>
      <c r="R141" s="10"/>
      <c r="S141" s="8"/>
      <c r="T141" s="8"/>
    </row>
    <row r="142" customFormat="false" ht="15" hidden="false" customHeight="false" outlineLevel="0" collapsed="false">
      <c r="A142" s="7" t="s">
        <v>218</v>
      </c>
      <c r="B142" s="10"/>
      <c r="C142" s="8"/>
      <c r="D142" s="9"/>
      <c r="E142" s="13" t="str">
        <f aca="false">IF(B142="","",IFERROR(INDEX(Iniciativas!$J$2:$J$11,MATCH(B142,Iniciativas!$B$2:$B$11,0)),""))</f>
        <v/>
      </c>
      <c r="F142" s="7" t="str">
        <f aca="false">IF(OR(NOT(ISNUMBER(D142)),NOT(ISNUMBER(E142))),"",IF(D142&gt;E142,"Sí","No"))</f>
        <v/>
      </c>
      <c r="G142" s="10"/>
      <c r="H142" s="10"/>
      <c r="I142" s="10"/>
      <c r="J142" s="8"/>
      <c r="K142" s="7" t="str">
        <f aca="false">IF(OR(F142="",I142=""),"",IF(AND(F142="Sí",I142="Sí"),"Sí","No"))</f>
        <v/>
      </c>
      <c r="L142" s="10"/>
      <c r="M142" s="10"/>
      <c r="N142" s="8"/>
      <c r="O142" s="10"/>
      <c r="P142" s="10"/>
      <c r="Q142" s="7" t="str">
        <f aca="false">IF(OR(O142="",P142=""),"",IF(O142=P142,"Sí","No"))</f>
        <v/>
      </c>
      <c r="R142" s="10"/>
      <c r="S142" s="8"/>
      <c r="T142" s="8"/>
    </row>
    <row r="143" customFormat="false" ht="15" hidden="false" customHeight="false" outlineLevel="0" collapsed="false">
      <c r="A143" s="7" t="s">
        <v>219</v>
      </c>
      <c r="B143" s="10"/>
      <c r="C143" s="8"/>
      <c r="D143" s="9"/>
      <c r="E143" s="13" t="str">
        <f aca="false">IF(B143="","",IFERROR(INDEX(Iniciativas!$J$2:$J$11,MATCH(B143,Iniciativas!$B$2:$B$11,0)),""))</f>
        <v/>
      </c>
      <c r="F143" s="7" t="str">
        <f aca="false">IF(OR(NOT(ISNUMBER(D143)),NOT(ISNUMBER(E143))),"",IF(D143&gt;E143,"Sí","No"))</f>
        <v/>
      </c>
      <c r="G143" s="10"/>
      <c r="H143" s="10"/>
      <c r="I143" s="10"/>
      <c r="J143" s="8"/>
      <c r="K143" s="7" t="str">
        <f aca="false">IF(OR(F143="",I143=""),"",IF(AND(F143="Sí",I143="Sí"),"Sí","No"))</f>
        <v/>
      </c>
      <c r="L143" s="10"/>
      <c r="M143" s="10"/>
      <c r="N143" s="8"/>
      <c r="O143" s="10"/>
      <c r="P143" s="10"/>
      <c r="Q143" s="7" t="str">
        <f aca="false">IF(OR(O143="",P143=""),"",IF(O143=P143,"Sí","No"))</f>
        <v/>
      </c>
      <c r="R143" s="10"/>
      <c r="S143" s="8"/>
      <c r="T143" s="8"/>
    </row>
    <row r="144" customFormat="false" ht="15" hidden="false" customHeight="false" outlineLevel="0" collapsed="false">
      <c r="A144" s="7" t="s">
        <v>220</v>
      </c>
      <c r="B144" s="10"/>
      <c r="C144" s="8"/>
      <c r="D144" s="9"/>
      <c r="E144" s="13" t="str">
        <f aca="false">IF(B144="","",IFERROR(INDEX(Iniciativas!$J$2:$J$11,MATCH(B144,Iniciativas!$B$2:$B$11,0)),""))</f>
        <v/>
      </c>
      <c r="F144" s="7" t="str">
        <f aca="false">IF(OR(NOT(ISNUMBER(D144)),NOT(ISNUMBER(E144))),"",IF(D144&gt;E144,"Sí","No"))</f>
        <v/>
      </c>
      <c r="G144" s="10"/>
      <c r="H144" s="10"/>
      <c r="I144" s="10"/>
      <c r="J144" s="8"/>
      <c r="K144" s="7" t="str">
        <f aca="false">IF(OR(F144="",I144=""),"",IF(AND(F144="Sí",I144="Sí"),"Sí","No"))</f>
        <v/>
      </c>
      <c r="L144" s="10"/>
      <c r="M144" s="10"/>
      <c r="N144" s="8"/>
      <c r="O144" s="10"/>
      <c r="P144" s="10"/>
      <c r="Q144" s="7" t="str">
        <f aca="false">IF(OR(O144="",P144=""),"",IF(O144=P144,"Sí","No"))</f>
        <v/>
      </c>
      <c r="R144" s="10"/>
      <c r="S144" s="8"/>
      <c r="T144" s="8"/>
    </row>
    <row r="145" customFormat="false" ht="15" hidden="false" customHeight="false" outlineLevel="0" collapsed="false">
      <c r="A145" s="7" t="s">
        <v>221</v>
      </c>
      <c r="B145" s="10"/>
      <c r="C145" s="8"/>
      <c r="D145" s="9"/>
      <c r="E145" s="13" t="str">
        <f aca="false">IF(B145="","",IFERROR(INDEX(Iniciativas!$J$2:$J$11,MATCH(B145,Iniciativas!$B$2:$B$11,0)),""))</f>
        <v/>
      </c>
      <c r="F145" s="7" t="str">
        <f aca="false">IF(OR(NOT(ISNUMBER(D145)),NOT(ISNUMBER(E145))),"",IF(D145&gt;E145,"Sí","No"))</f>
        <v/>
      </c>
      <c r="G145" s="10"/>
      <c r="H145" s="10"/>
      <c r="I145" s="10"/>
      <c r="J145" s="8"/>
      <c r="K145" s="7" t="str">
        <f aca="false">IF(OR(F145="",I145=""),"",IF(AND(F145="Sí",I145="Sí"),"Sí","No"))</f>
        <v/>
      </c>
      <c r="L145" s="10"/>
      <c r="M145" s="10"/>
      <c r="N145" s="8"/>
      <c r="O145" s="10"/>
      <c r="P145" s="10"/>
      <c r="Q145" s="7" t="str">
        <f aca="false">IF(OR(O145="",P145=""),"",IF(O145=P145,"Sí","No"))</f>
        <v/>
      </c>
      <c r="R145" s="10"/>
      <c r="S145" s="8"/>
      <c r="T145" s="8"/>
    </row>
    <row r="146" customFormat="false" ht="15" hidden="false" customHeight="false" outlineLevel="0" collapsed="false">
      <c r="A146" s="7" t="s">
        <v>222</v>
      </c>
      <c r="B146" s="10"/>
      <c r="C146" s="8"/>
      <c r="D146" s="9"/>
      <c r="E146" s="13" t="str">
        <f aca="false">IF(B146="","",IFERROR(INDEX(Iniciativas!$J$2:$J$11,MATCH(B146,Iniciativas!$B$2:$B$11,0)),""))</f>
        <v/>
      </c>
      <c r="F146" s="7" t="str">
        <f aca="false">IF(OR(NOT(ISNUMBER(D146)),NOT(ISNUMBER(E146))),"",IF(D146&gt;E146,"Sí","No"))</f>
        <v/>
      </c>
      <c r="G146" s="10"/>
      <c r="H146" s="10"/>
      <c r="I146" s="10"/>
      <c r="J146" s="8"/>
      <c r="K146" s="7" t="str">
        <f aca="false">IF(OR(F146="",I146=""),"",IF(AND(F146="Sí",I146="Sí"),"Sí","No"))</f>
        <v/>
      </c>
      <c r="L146" s="10"/>
      <c r="M146" s="10"/>
      <c r="N146" s="8"/>
      <c r="O146" s="10"/>
      <c r="P146" s="10"/>
      <c r="Q146" s="7" t="str">
        <f aca="false">IF(OR(O146="",P146=""),"",IF(O146=P146,"Sí","No"))</f>
        <v/>
      </c>
      <c r="R146" s="10"/>
      <c r="S146" s="8"/>
      <c r="T146" s="8"/>
    </row>
    <row r="147" customFormat="false" ht="15" hidden="false" customHeight="false" outlineLevel="0" collapsed="false">
      <c r="A147" s="7" t="s">
        <v>223</v>
      </c>
      <c r="B147" s="10"/>
      <c r="C147" s="8"/>
      <c r="D147" s="9"/>
      <c r="E147" s="13" t="str">
        <f aca="false">IF(B147="","",IFERROR(INDEX(Iniciativas!$J$2:$J$11,MATCH(B147,Iniciativas!$B$2:$B$11,0)),""))</f>
        <v/>
      </c>
      <c r="F147" s="7" t="str">
        <f aca="false">IF(OR(NOT(ISNUMBER(D147)),NOT(ISNUMBER(E147))),"",IF(D147&gt;E147,"Sí","No"))</f>
        <v/>
      </c>
      <c r="G147" s="10"/>
      <c r="H147" s="10"/>
      <c r="I147" s="10"/>
      <c r="J147" s="8"/>
      <c r="K147" s="7" t="str">
        <f aca="false">IF(OR(F147="",I147=""),"",IF(AND(F147="Sí",I147="Sí"),"Sí","No"))</f>
        <v/>
      </c>
      <c r="L147" s="10"/>
      <c r="M147" s="10"/>
      <c r="N147" s="8"/>
      <c r="O147" s="10"/>
      <c r="P147" s="10"/>
      <c r="Q147" s="7" t="str">
        <f aca="false">IF(OR(O147="",P147=""),"",IF(O147=P147,"Sí","No"))</f>
        <v/>
      </c>
      <c r="R147" s="10"/>
      <c r="S147" s="8"/>
      <c r="T147" s="8"/>
    </row>
    <row r="148" customFormat="false" ht="15" hidden="false" customHeight="false" outlineLevel="0" collapsed="false">
      <c r="A148" s="7" t="s">
        <v>224</v>
      </c>
      <c r="B148" s="10"/>
      <c r="C148" s="8"/>
      <c r="D148" s="9"/>
      <c r="E148" s="13" t="str">
        <f aca="false">IF(B148="","",IFERROR(INDEX(Iniciativas!$J$2:$J$11,MATCH(B148,Iniciativas!$B$2:$B$11,0)),""))</f>
        <v/>
      </c>
      <c r="F148" s="7" t="str">
        <f aca="false">IF(OR(NOT(ISNUMBER(D148)),NOT(ISNUMBER(E148))),"",IF(D148&gt;E148,"Sí","No"))</f>
        <v/>
      </c>
      <c r="G148" s="10"/>
      <c r="H148" s="10"/>
      <c r="I148" s="10"/>
      <c r="J148" s="8"/>
      <c r="K148" s="7" t="str">
        <f aca="false">IF(OR(F148="",I148=""),"",IF(AND(F148="Sí",I148="Sí"),"Sí","No"))</f>
        <v/>
      </c>
      <c r="L148" s="10"/>
      <c r="M148" s="10"/>
      <c r="N148" s="8"/>
      <c r="O148" s="10"/>
      <c r="P148" s="10"/>
      <c r="Q148" s="7" t="str">
        <f aca="false">IF(OR(O148="",P148=""),"",IF(O148=P148,"Sí","No"))</f>
        <v/>
      </c>
      <c r="R148" s="10"/>
      <c r="S148" s="8"/>
      <c r="T148" s="8"/>
    </row>
    <row r="149" customFormat="false" ht="15" hidden="false" customHeight="false" outlineLevel="0" collapsed="false">
      <c r="A149" s="7" t="s">
        <v>225</v>
      </c>
      <c r="B149" s="10"/>
      <c r="C149" s="8"/>
      <c r="D149" s="9"/>
      <c r="E149" s="13" t="str">
        <f aca="false">IF(B149="","",IFERROR(INDEX(Iniciativas!$J$2:$J$11,MATCH(B149,Iniciativas!$B$2:$B$11,0)),""))</f>
        <v/>
      </c>
      <c r="F149" s="7" t="str">
        <f aca="false">IF(OR(NOT(ISNUMBER(D149)),NOT(ISNUMBER(E149))),"",IF(D149&gt;E149,"Sí","No"))</f>
        <v/>
      </c>
      <c r="G149" s="10"/>
      <c r="H149" s="10"/>
      <c r="I149" s="10"/>
      <c r="J149" s="8"/>
      <c r="K149" s="7" t="str">
        <f aca="false">IF(OR(F149="",I149=""),"",IF(AND(F149="Sí",I149="Sí"),"Sí","No"))</f>
        <v/>
      </c>
      <c r="L149" s="10"/>
      <c r="M149" s="10"/>
      <c r="N149" s="8"/>
      <c r="O149" s="10"/>
      <c r="P149" s="10"/>
      <c r="Q149" s="7" t="str">
        <f aca="false">IF(OR(O149="",P149=""),"",IF(O149=P149,"Sí","No"))</f>
        <v/>
      </c>
      <c r="R149" s="10"/>
      <c r="S149" s="8"/>
      <c r="T149" s="8"/>
    </row>
    <row r="150" customFormat="false" ht="15" hidden="false" customHeight="false" outlineLevel="0" collapsed="false">
      <c r="A150" s="7" t="s">
        <v>226</v>
      </c>
      <c r="B150" s="10"/>
      <c r="C150" s="8"/>
      <c r="D150" s="9"/>
      <c r="E150" s="13" t="str">
        <f aca="false">IF(B150="","",IFERROR(INDEX(Iniciativas!$J$2:$J$11,MATCH(B150,Iniciativas!$B$2:$B$11,0)),""))</f>
        <v/>
      </c>
      <c r="F150" s="7" t="str">
        <f aca="false">IF(OR(NOT(ISNUMBER(D150)),NOT(ISNUMBER(E150))),"",IF(D150&gt;E150,"Sí","No"))</f>
        <v/>
      </c>
      <c r="G150" s="10"/>
      <c r="H150" s="10"/>
      <c r="I150" s="10"/>
      <c r="J150" s="8"/>
      <c r="K150" s="7" t="str">
        <f aca="false">IF(OR(F150="",I150=""),"",IF(AND(F150="Sí",I150="Sí"),"Sí","No"))</f>
        <v/>
      </c>
      <c r="L150" s="10"/>
      <c r="M150" s="10"/>
      <c r="N150" s="8"/>
      <c r="O150" s="10"/>
      <c r="P150" s="10"/>
      <c r="Q150" s="7" t="str">
        <f aca="false">IF(OR(O150="",P150=""),"",IF(O150=P150,"Sí","No"))</f>
        <v/>
      </c>
      <c r="R150" s="10"/>
      <c r="S150" s="8"/>
      <c r="T150" s="8"/>
    </row>
    <row r="151" customFormat="false" ht="15" hidden="false" customHeight="false" outlineLevel="0" collapsed="false">
      <c r="A151" s="7" t="s">
        <v>227</v>
      </c>
      <c r="B151" s="10"/>
      <c r="C151" s="8"/>
      <c r="D151" s="9"/>
      <c r="E151" s="13" t="str">
        <f aca="false">IF(B151="","",IFERROR(INDEX(Iniciativas!$J$2:$J$11,MATCH(B151,Iniciativas!$B$2:$B$11,0)),""))</f>
        <v/>
      </c>
      <c r="F151" s="7" t="str">
        <f aca="false">IF(OR(NOT(ISNUMBER(D151)),NOT(ISNUMBER(E151))),"",IF(D151&gt;E151,"Sí","No"))</f>
        <v/>
      </c>
      <c r="G151" s="10"/>
      <c r="H151" s="10"/>
      <c r="I151" s="10"/>
      <c r="J151" s="8"/>
      <c r="K151" s="7" t="str">
        <f aca="false">IF(OR(F151="",I151=""),"",IF(AND(F151="Sí",I151="Sí"),"Sí","No"))</f>
        <v/>
      </c>
      <c r="L151" s="10"/>
      <c r="M151" s="10"/>
      <c r="N151" s="8"/>
      <c r="O151" s="10"/>
      <c r="P151" s="10"/>
      <c r="Q151" s="7" t="str">
        <f aca="false">IF(OR(O151="",P151=""),"",IF(O151=P151,"Sí","No"))</f>
        <v/>
      </c>
      <c r="R151" s="10"/>
      <c r="S151" s="8"/>
      <c r="T151" s="8"/>
    </row>
    <row r="152" customFormat="false" ht="15" hidden="false" customHeight="false" outlineLevel="0" collapsed="false">
      <c r="A152" s="7" t="s">
        <v>228</v>
      </c>
      <c r="B152" s="10"/>
      <c r="C152" s="8"/>
      <c r="D152" s="9"/>
      <c r="E152" s="13" t="str">
        <f aca="false">IF(B152="","",IFERROR(INDEX(Iniciativas!$J$2:$J$11,MATCH(B152,Iniciativas!$B$2:$B$11,0)),""))</f>
        <v/>
      </c>
      <c r="F152" s="7" t="str">
        <f aca="false">IF(OR(NOT(ISNUMBER(D152)),NOT(ISNUMBER(E152))),"",IF(D152&gt;E152,"Sí","No"))</f>
        <v/>
      </c>
      <c r="G152" s="10"/>
      <c r="H152" s="10"/>
      <c r="I152" s="10"/>
      <c r="J152" s="8"/>
      <c r="K152" s="7" t="str">
        <f aca="false">IF(OR(F152="",I152=""),"",IF(AND(F152="Sí",I152="Sí"),"Sí","No"))</f>
        <v/>
      </c>
      <c r="L152" s="10"/>
      <c r="M152" s="10"/>
      <c r="N152" s="8"/>
      <c r="O152" s="10"/>
      <c r="P152" s="10"/>
      <c r="Q152" s="7" t="str">
        <f aca="false">IF(OR(O152="",P152=""),"",IF(O152=P152,"Sí","No"))</f>
        <v/>
      </c>
      <c r="R152" s="10"/>
      <c r="S152" s="8"/>
      <c r="T152" s="8"/>
    </row>
    <row r="153" customFormat="false" ht="15" hidden="false" customHeight="false" outlineLevel="0" collapsed="false">
      <c r="A153" s="7" t="s">
        <v>229</v>
      </c>
      <c r="B153" s="10"/>
      <c r="C153" s="8"/>
      <c r="D153" s="9"/>
      <c r="E153" s="13" t="str">
        <f aca="false">IF(B153="","",IFERROR(INDEX(Iniciativas!$J$2:$J$11,MATCH(B153,Iniciativas!$B$2:$B$11,0)),""))</f>
        <v/>
      </c>
      <c r="F153" s="7" t="str">
        <f aca="false">IF(OR(NOT(ISNUMBER(D153)),NOT(ISNUMBER(E153))),"",IF(D153&gt;E153,"Sí","No"))</f>
        <v/>
      </c>
      <c r="G153" s="10"/>
      <c r="H153" s="10"/>
      <c r="I153" s="10"/>
      <c r="J153" s="8"/>
      <c r="K153" s="7" t="str">
        <f aca="false">IF(OR(F153="",I153=""),"",IF(AND(F153="Sí",I153="Sí"),"Sí","No"))</f>
        <v/>
      </c>
      <c r="L153" s="10"/>
      <c r="M153" s="10"/>
      <c r="N153" s="8"/>
      <c r="O153" s="10"/>
      <c r="P153" s="10"/>
      <c r="Q153" s="7" t="str">
        <f aca="false">IF(OR(O153="",P153=""),"",IF(O153=P153,"Sí","No"))</f>
        <v/>
      </c>
      <c r="R153" s="10"/>
      <c r="S153" s="8"/>
      <c r="T153" s="8"/>
    </row>
    <row r="154" customFormat="false" ht="15" hidden="false" customHeight="false" outlineLevel="0" collapsed="false">
      <c r="A154" s="7" t="s">
        <v>230</v>
      </c>
      <c r="B154" s="10"/>
      <c r="C154" s="8"/>
      <c r="D154" s="9"/>
      <c r="E154" s="13" t="str">
        <f aca="false">IF(B154="","",IFERROR(INDEX(Iniciativas!$J$2:$J$11,MATCH(B154,Iniciativas!$B$2:$B$11,0)),""))</f>
        <v/>
      </c>
      <c r="F154" s="7" t="str">
        <f aca="false">IF(OR(NOT(ISNUMBER(D154)),NOT(ISNUMBER(E154))),"",IF(D154&gt;E154,"Sí","No"))</f>
        <v/>
      </c>
      <c r="G154" s="10"/>
      <c r="H154" s="10"/>
      <c r="I154" s="10"/>
      <c r="J154" s="8"/>
      <c r="K154" s="7" t="str">
        <f aca="false">IF(OR(F154="",I154=""),"",IF(AND(F154="Sí",I154="Sí"),"Sí","No"))</f>
        <v/>
      </c>
      <c r="L154" s="10"/>
      <c r="M154" s="10"/>
      <c r="N154" s="8"/>
      <c r="O154" s="10"/>
      <c r="P154" s="10"/>
      <c r="Q154" s="7" t="str">
        <f aca="false">IF(OR(O154="",P154=""),"",IF(O154=P154,"Sí","No"))</f>
        <v/>
      </c>
      <c r="R154" s="10"/>
      <c r="S154" s="8"/>
      <c r="T154" s="8"/>
    </row>
    <row r="155" customFormat="false" ht="15" hidden="false" customHeight="false" outlineLevel="0" collapsed="false">
      <c r="A155" s="7" t="s">
        <v>231</v>
      </c>
      <c r="B155" s="10"/>
      <c r="C155" s="8"/>
      <c r="D155" s="9"/>
      <c r="E155" s="13" t="str">
        <f aca="false">IF(B155="","",IFERROR(INDEX(Iniciativas!$J$2:$J$11,MATCH(B155,Iniciativas!$B$2:$B$11,0)),""))</f>
        <v/>
      </c>
      <c r="F155" s="7" t="str">
        <f aca="false">IF(OR(NOT(ISNUMBER(D155)),NOT(ISNUMBER(E155))),"",IF(D155&gt;E155,"Sí","No"))</f>
        <v/>
      </c>
      <c r="G155" s="10"/>
      <c r="H155" s="10"/>
      <c r="I155" s="10"/>
      <c r="J155" s="8"/>
      <c r="K155" s="7" t="str">
        <f aca="false">IF(OR(F155="",I155=""),"",IF(AND(F155="Sí",I155="Sí"),"Sí","No"))</f>
        <v/>
      </c>
      <c r="L155" s="10"/>
      <c r="M155" s="10"/>
      <c r="N155" s="8"/>
      <c r="O155" s="10"/>
      <c r="P155" s="10"/>
      <c r="Q155" s="7" t="str">
        <f aca="false">IF(OR(O155="",P155=""),"",IF(O155=P155,"Sí","No"))</f>
        <v/>
      </c>
      <c r="R155" s="10"/>
      <c r="S155" s="8"/>
      <c r="T155" s="8"/>
    </row>
    <row r="156" customFormat="false" ht="15" hidden="false" customHeight="false" outlineLevel="0" collapsed="false">
      <c r="A156" s="7" t="s">
        <v>232</v>
      </c>
      <c r="B156" s="10"/>
      <c r="C156" s="8"/>
      <c r="D156" s="9"/>
      <c r="E156" s="13" t="str">
        <f aca="false">IF(B156="","",IFERROR(INDEX(Iniciativas!$J$2:$J$11,MATCH(B156,Iniciativas!$B$2:$B$11,0)),""))</f>
        <v/>
      </c>
      <c r="F156" s="7" t="str">
        <f aca="false">IF(OR(NOT(ISNUMBER(D156)),NOT(ISNUMBER(E156))),"",IF(D156&gt;E156,"Sí","No"))</f>
        <v/>
      </c>
      <c r="G156" s="10"/>
      <c r="H156" s="10"/>
      <c r="I156" s="10"/>
      <c r="J156" s="8"/>
      <c r="K156" s="7" t="str">
        <f aca="false">IF(OR(F156="",I156=""),"",IF(AND(F156="Sí",I156="Sí"),"Sí","No"))</f>
        <v/>
      </c>
      <c r="L156" s="10"/>
      <c r="M156" s="10"/>
      <c r="N156" s="8"/>
      <c r="O156" s="10"/>
      <c r="P156" s="10"/>
      <c r="Q156" s="7" t="str">
        <f aca="false">IF(OR(O156="",P156=""),"",IF(O156=P156,"Sí","No"))</f>
        <v/>
      </c>
      <c r="R156" s="10"/>
      <c r="S156" s="8"/>
      <c r="T156" s="8"/>
    </row>
    <row r="157" customFormat="false" ht="15" hidden="false" customHeight="false" outlineLevel="0" collapsed="false">
      <c r="A157" s="7" t="s">
        <v>233</v>
      </c>
      <c r="B157" s="10"/>
      <c r="C157" s="8"/>
      <c r="D157" s="9"/>
      <c r="E157" s="13" t="str">
        <f aca="false">IF(B157="","",IFERROR(INDEX(Iniciativas!$J$2:$J$11,MATCH(B157,Iniciativas!$B$2:$B$11,0)),""))</f>
        <v/>
      </c>
      <c r="F157" s="7" t="str">
        <f aca="false">IF(OR(NOT(ISNUMBER(D157)),NOT(ISNUMBER(E157))),"",IF(D157&gt;E157,"Sí","No"))</f>
        <v/>
      </c>
      <c r="G157" s="10"/>
      <c r="H157" s="10"/>
      <c r="I157" s="10"/>
      <c r="J157" s="8"/>
      <c r="K157" s="7" t="str">
        <f aca="false">IF(OR(F157="",I157=""),"",IF(AND(F157="Sí",I157="Sí"),"Sí","No"))</f>
        <v/>
      </c>
      <c r="L157" s="10"/>
      <c r="M157" s="10"/>
      <c r="N157" s="8"/>
      <c r="O157" s="10"/>
      <c r="P157" s="10"/>
      <c r="Q157" s="7" t="str">
        <f aca="false">IF(OR(O157="",P157=""),"",IF(O157=P157,"Sí","No"))</f>
        <v/>
      </c>
      <c r="R157" s="10"/>
      <c r="S157" s="8"/>
      <c r="T157" s="8"/>
    </row>
    <row r="158" customFormat="false" ht="15" hidden="false" customHeight="false" outlineLevel="0" collapsed="false">
      <c r="A158" s="7" t="s">
        <v>234</v>
      </c>
      <c r="B158" s="10"/>
      <c r="C158" s="8"/>
      <c r="D158" s="9"/>
      <c r="E158" s="13" t="str">
        <f aca="false">IF(B158="","",IFERROR(INDEX(Iniciativas!$J$2:$J$11,MATCH(B158,Iniciativas!$B$2:$B$11,0)),""))</f>
        <v/>
      </c>
      <c r="F158" s="7" t="str">
        <f aca="false">IF(OR(NOT(ISNUMBER(D158)),NOT(ISNUMBER(E158))),"",IF(D158&gt;E158,"Sí","No"))</f>
        <v/>
      </c>
      <c r="G158" s="10"/>
      <c r="H158" s="10"/>
      <c r="I158" s="10"/>
      <c r="J158" s="8"/>
      <c r="K158" s="7" t="str">
        <f aca="false">IF(OR(F158="",I158=""),"",IF(AND(F158="Sí",I158="Sí"),"Sí","No"))</f>
        <v/>
      </c>
      <c r="L158" s="10"/>
      <c r="M158" s="10"/>
      <c r="N158" s="8"/>
      <c r="O158" s="10"/>
      <c r="P158" s="10"/>
      <c r="Q158" s="7" t="str">
        <f aca="false">IF(OR(O158="",P158=""),"",IF(O158=P158,"Sí","No"))</f>
        <v/>
      </c>
      <c r="R158" s="10"/>
      <c r="S158" s="8"/>
      <c r="T158" s="8"/>
    </row>
    <row r="159" customFormat="false" ht="15" hidden="false" customHeight="false" outlineLevel="0" collapsed="false">
      <c r="A159" s="7" t="s">
        <v>235</v>
      </c>
      <c r="B159" s="10"/>
      <c r="C159" s="8"/>
      <c r="D159" s="9"/>
      <c r="E159" s="13" t="str">
        <f aca="false">IF(B159="","",IFERROR(INDEX(Iniciativas!$J$2:$J$11,MATCH(B159,Iniciativas!$B$2:$B$11,0)),""))</f>
        <v/>
      </c>
      <c r="F159" s="7" t="str">
        <f aca="false">IF(OR(NOT(ISNUMBER(D159)),NOT(ISNUMBER(E159))),"",IF(D159&gt;E159,"Sí","No"))</f>
        <v/>
      </c>
      <c r="G159" s="10"/>
      <c r="H159" s="10"/>
      <c r="I159" s="10"/>
      <c r="J159" s="8"/>
      <c r="K159" s="7" t="str">
        <f aca="false">IF(OR(F159="",I159=""),"",IF(AND(F159="Sí",I159="Sí"),"Sí","No"))</f>
        <v/>
      </c>
      <c r="L159" s="10"/>
      <c r="M159" s="10"/>
      <c r="N159" s="8"/>
      <c r="O159" s="10"/>
      <c r="P159" s="10"/>
      <c r="Q159" s="7" t="str">
        <f aca="false">IF(OR(O159="",P159=""),"",IF(O159=P159,"Sí","No"))</f>
        <v/>
      </c>
      <c r="R159" s="10"/>
      <c r="S159" s="8"/>
      <c r="T159" s="8"/>
    </row>
    <row r="160" customFormat="false" ht="15" hidden="false" customHeight="false" outlineLevel="0" collapsed="false">
      <c r="A160" s="7" t="s">
        <v>236</v>
      </c>
      <c r="B160" s="10"/>
      <c r="C160" s="8"/>
      <c r="D160" s="9"/>
      <c r="E160" s="13" t="str">
        <f aca="false">IF(B160="","",IFERROR(INDEX(Iniciativas!$J$2:$J$11,MATCH(B160,Iniciativas!$B$2:$B$11,0)),""))</f>
        <v/>
      </c>
      <c r="F160" s="7" t="str">
        <f aca="false">IF(OR(NOT(ISNUMBER(D160)),NOT(ISNUMBER(E160))),"",IF(D160&gt;E160,"Sí","No"))</f>
        <v/>
      </c>
      <c r="G160" s="10"/>
      <c r="H160" s="10"/>
      <c r="I160" s="10"/>
      <c r="J160" s="8"/>
      <c r="K160" s="7" t="str">
        <f aca="false">IF(OR(F160="",I160=""),"",IF(AND(F160="Sí",I160="Sí"),"Sí","No"))</f>
        <v/>
      </c>
      <c r="L160" s="10"/>
      <c r="M160" s="10"/>
      <c r="N160" s="8"/>
      <c r="O160" s="10"/>
      <c r="P160" s="10"/>
      <c r="Q160" s="7" t="str">
        <f aca="false">IF(OR(O160="",P160=""),"",IF(O160=P160,"Sí","No"))</f>
        <v/>
      </c>
      <c r="R160" s="10"/>
      <c r="S160" s="8"/>
      <c r="T160" s="8"/>
    </row>
    <row r="161" customFormat="false" ht="15" hidden="false" customHeight="false" outlineLevel="0" collapsed="false">
      <c r="A161" s="7" t="s">
        <v>237</v>
      </c>
      <c r="B161" s="10"/>
      <c r="C161" s="8"/>
      <c r="D161" s="9"/>
      <c r="E161" s="13" t="str">
        <f aca="false">IF(B161="","",IFERROR(INDEX(Iniciativas!$J$2:$J$11,MATCH(B161,Iniciativas!$B$2:$B$11,0)),""))</f>
        <v/>
      </c>
      <c r="F161" s="7" t="str">
        <f aca="false">IF(OR(NOT(ISNUMBER(D161)),NOT(ISNUMBER(E161))),"",IF(D161&gt;E161,"Sí","No"))</f>
        <v/>
      </c>
      <c r="G161" s="10"/>
      <c r="H161" s="10"/>
      <c r="I161" s="10"/>
      <c r="J161" s="8"/>
      <c r="K161" s="7" t="str">
        <f aca="false">IF(OR(F161="",I161=""),"",IF(AND(F161="Sí",I161="Sí"),"Sí","No"))</f>
        <v/>
      </c>
      <c r="L161" s="10"/>
      <c r="M161" s="10"/>
      <c r="N161" s="8"/>
      <c r="O161" s="10"/>
      <c r="P161" s="10"/>
      <c r="Q161" s="7" t="str">
        <f aca="false">IF(OR(O161="",P161=""),"",IF(O161=P161,"Sí","No"))</f>
        <v/>
      </c>
      <c r="R161" s="10"/>
      <c r="S161" s="8"/>
      <c r="T161" s="8"/>
    </row>
    <row r="162" customFormat="false" ht="15" hidden="false" customHeight="false" outlineLevel="0" collapsed="false">
      <c r="A162" s="7" t="s">
        <v>238</v>
      </c>
      <c r="B162" s="10"/>
      <c r="C162" s="8"/>
      <c r="D162" s="9"/>
      <c r="E162" s="13" t="str">
        <f aca="false">IF(B162="","",IFERROR(INDEX(Iniciativas!$J$2:$J$11,MATCH(B162,Iniciativas!$B$2:$B$11,0)),""))</f>
        <v/>
      </c>
      <c r="F162" s="7" t="str">
        <f aca="false">IF(OR(NOT(ISNUMBER(D162)),NOT(ISNUMBER(E162))),"",IF(D162&gt;E162,"Sí","No"))</f>
        <v/>
      </c>
      <c r="G162" s="10"/>
      <c r="H162" s="10"/>
      <c r="I162" s="10"/>
      <c r="J162" s="8"/>
      <c r="K162" s="7" t="str">
        <f aca="false">IF(OR(F162="",I162=""),"",IF(AND(F162="Sí",I162="Sí"),"Sí","No"))</f>
        <v/>
      </c>
      <c r="L162" s="10"/>
      <c r="M162" s="10"/>
      <c r="N162" s="8"/>
      <c r="O162" s="10"/>
      <c r="P162" s="10"/>
      <c r="Q162" s="7" t="str">
        <f aca="false">IF(OR(O162="",P162=""),"",IF(O162=P162,"Sí","No"))</f>
        <v/>
      </c>
      <c r="R162" s="10"/>
      <c r="S162" s="8"/>
      <c r="T162" s="8"/>
    </row>
    <row r="163" customFormat="false" ht="15" hidden="false" customHeight="false" outlineLevel="0" collapsed="false">
      <c r="A163" s="7" t="s">
        <v>239</v>
      </c>
      <c r="B163" s="10"/>
      <c r="C163" s="8"/>
      <c r="D163" s="9"/>
      <c r="E163" s="13" t="str">
        <f aca="false">IF(B163="","",IFERROR(INDEX(Iniciativas!$J$2:$J$11,MATCH(B163,Iniciativas!$B$2:$B$11,0)),""))</f>
        <v/>
      </c>
      <c r="F163" s="7" t="str">
        <f aca="false">IF(OR(NOT(ISNUMBER(D163)),NOT(ISNUMBER(E163))),"",IF(D163&gt;E163,"Sí","No"))</f>
        <v/>
      </c>
      <c r="G163" s="10"/>
      <c r="H163" s="10"/>
      <c r="I163" s="10"/>
      <c r="J163" s="8"/>
      <c r="K163" s="7" t="str">
        <f aca="false">IF(OR(F163="",I163=""),"",IF(AND(F163="Sí",I163="Sí"),"Sí","No"))</f>
        <v/>
      </c>
      <c r="L163" s="10"/>
      <c r="M163" s="10"/>
      <c r="N163" s="8"/>
      <c r="O163" s="10"/>
      <c r="P163" s="10"/>
      <c r="Q163" s="7" t="str">
        <f aca="false">IF(OR(O163="",P163=""),"",IF(O163=P163,"Sí","No"))</f>
        <v/>
      </c>
      <c r="R163" s="10"/>
      <c r="S163" s="8"/>
      <c r="T163" s="8"/>
    </row>
    <row r="164" customFormat="false" ht="15" hidden="false" customHeight="false" outlineLevel="0" collapsed="false">
      <c r="A164" s="7" t="s">
        <v>240</v>
      </c>
      <c r="B164" s="10"/>
      <c r="C164" s="8"/>
      <c r="D164" s="9"/>
      <c r="E164" s="13" t="str">
        <f aca="false">IF(B164="","",IFERROR(INDEX(Iniciativas!$J$2:$J$11,MATCH(B164,Iniciativas!$B$2:$B$11,0)),""))</f>
        <v/>
      </c>
      <c r="F164" s="7" t="str">
        <f aca="false">IF(OR(NOT(ISNUMBER(D164)),NOT(ISNUMBER(E164))),"",IF(D164&gt;E164,"Sí","No"))</f>
        <v/>
      </c>
      <c r="G164" s="10"/>
      <c r="H164" s="10"/>
      <c r="I164" s="10"/>
      <c r="J164" s="8"/>
      <c r="K164" s="7" t="str">
        <f aca="false">IF(OR(F164="",I164=""),"",IF(AND(F164="Sí",I164="Sí"),"Sí","No"))</f>
        <v/>
      </c>
      <c r="L164" s="10"/>
      <c r="M164" s="10"/>
      <c r="N164" s="8"/>
      <c r="O164" s="10"/>
      <c r="P164" s="10"/>
      <c r="Q164" s="7" t="str">
        <f aca="false">IF(OR(O164="",P164=""),"",IF(O164=P164,"Sí","No"))</f>
        <v/>
      </c>
      <c r="R164" s="10"/>
      <c r="S164" s="8"/>
      <c r="T164" s="8"/>
    </row>
    <row r="165" customFormat="false" ht="15" hidden="false" customHeight="false" outlineLevel="0" collapsed="false">
      <c r="A165" s="7" t="s">
        <v>241</v>
      </c>
      <c r="B165" s="10"/>
      <c r="C165" s="8"/>
      <c r="D165" s="9"/>
      <c r="E165" s="13" t="str">
        <f aca="false">IF(B165="","",IFERROR(INDEX(Iniciativas!$J$2:$J$11,MATCH(B165,Iniciativas!$B$2:$B$11,0)),""))</f>
        <v/>
      </c>
      <c r="F165" s="7" t="str">
        <f aca="false">IF(OR(NOT(ISNUMBER(D165)),NOT(ISNUMBER(E165))),"",IF(D165&gt;E165,"Sí","No"))</f>
        <v/>
      </c>
      <c r="G165" s="10"/>
      <c r="H165" s="10"/>
      <c r="I165" s="10"/>
      <c r="J165" s="8"/>
      <c r="K165" s="7" t="str">
        <f aca="false">IF(OR(F165="",I165=""),"",IF(AND(F165="Sí",I165="Sí"),"Sí","No"))</f>
        <v/>
      </c>
      <c r="L165" s="10"/>
      <c r="M165" s="10"/>
      <c r="N165" s="8"/>
      <c r="O165" s="10"/>
      <c r="P165" s="10"/>
      <c r="Q165" s="7" t="str">
        <f aca="false">IF(OR(O165="",P165=""),"",IF(O165=P165,"Sí","No"))</f>
        <v/>
      </c>
      <c r="R165" s="10"/>
      <c r="S165" s="8"/>
      <c r="T165" s="8"/>
    </row>
    <row r="166" customFormat="false" ht="15" hidden="false" customHeight="false" outlineLevel="0" collapsed="false">
      <c r="A166" s="7" t="s">
        <v>242</v>
      </c>
      <c r="B166" s="10"/>
      <c r="C166" s="8"/>
      <c r="D166" s="9"/>
      <c r="E166" s="13" t="str">
        <f aca="false">IF(B166="","",IFERROR(INDEX(Iniciativas!$J$2:$J$11,MATCH(B166,Iniciativas!$B$2:$B$11,0)),""))</f>
        <v/>
      </c>
      <c r="F166" s="7" t="str">
        <f aca="false">IF(OR(NOT(ISNUMBER(D166)),NOT(ISNUMBER(E166))),"",IF(D166&gt;E166,"Sí","No"))</f>
        <v/>
      </c>
      <c r="G166" s="10"/>
      <c r="H166" s="10"/>
      <c r="I166" s="10"/>
      <c r="J166" s="8"/>
      <c r="K166" s="7" t="str">
        <f aca="false">IF(OR(F166="",I166=""),"",IF(AND(F166="Sí",I166="Sí"),"Sí","No"))</f>
        <v/>
      </c>
      <c r="L166" s="10"/>
      <c r="M166" s="10"/>
      <c r="N166" s="8"/>
      <c r="O166" s="10"/>
      <c r="P166" s="10"/>
      <c r="Q166" s="7" t="str">
        <f aca="false">IF(OR(O166="",P166=""),"",IF(O166=P166,"Sí","No"))</f>
        <v/>
      </c>
      <c r="R166" s="10"/>
      <c r="S166" s="8"/>
      <c r="T166" s="8"/>
    </row>
    <row r="167" customFormat="false" ht="15" hidden="false" customHeight="false" outlineLevel="0" collapsed="false">
      <c r="A167" s="7" t="s">
        <v>243</v>
      </c>
      <c r="B167" s="10"/>
      <c r="C167" s="8"/>
      <c r="D167" s="9"/>
      <c r="E167" s="13" t="str">
        <f aca="false">IF(B167="","",IFERROR(INDEX(Iniciativas!$J$2:$J$11,MATCH(B167,Iniciativas!$B$2:$B$11,0)),""))</f>
        <v/>
      </c>
      <c r="F167" s="7" t="str">
        <f aca="false">IF(OR(NOT(ISNUMBER(D167)),NOT(ISNUMBER(E167))),"",IF(D167&gt;E167,"Sí","No"))</f>
        <v/>
      </c>
      <c r="G167" s="10"/>
      <c r="H167" s="10"/>
      <c r="I167" s="10"/>
      <c r="J167" s="8"/>
      <c r="K167" s="7" t="str">
        <f aca="false">IF(OR(F167="",I167=""),"",IF(AND(F167="Sí",I167="Sí"),"Sí","No"))</f>
        <v/>
      </c>
      <c r="L167" s="10"/>
      <c r="M167" s="10"/>
      <c r="N167" s="8"/>
      <c r="O167" s="10"/>
      <c r="P167" s="10"/>
      <c r="Q167" s="7" t="str">
        <f aca="false">IF(OR(O167="",P167=""),"",IF(O167=P167,"Sí","No"))</f>
        <v/>
      </c>
      <c r="R167" s="10"/>
      <c r="S167" s="8"/>
      <c r="T167" s="8"/>
    </row>
    <row r="168" customFormat="false" ht="15" hidden="false" customHeight="false" outlineLevel="0" collapsed="false">
      <c r="A168" s="7" t="s">
        <v>244</v>
      </c>
      <c r="B168" s="10"/>
      <c r="C168" s="8"/>
      <c r="D168" s="9"/>
      <c r="E168" s="13" t="str">
        <f aca="false">IF(B168="","",IFERROR(INDEX(Iniciativas!$J$2:$J$11,MATCH(B168,Iniciativas!$B$2:$B$11,0)),""))</f>
        <v/>
      </c>
      <c r="F168" s="7" t="str">
        <f aca="false">IF(OR(NOT(ISNUMBER(D168)),NOT(ISNUMBER(E168))),"",IF(D168&gt;E168,"Sí","No"))</f>
        <v/>
      </c>
      <c r="G168" s="10"/>
      <c r="H168" s="10"/>
      <c r="I168" s="10"/>
      <c r="J168" s="8"/>
      <c r="K168" s="7" t="str">
        <f aca="false">IF(OR(F168="",I168=""),"",IF(AND(F168="Sí",I168="Sí"),"Sí","No"))</f>
        <v/>
      </c>
      <c r="L168" s="10"/>
      <c r="M168" s="10"/>
      <c r="N168" s="8"/>
      <c r="O168" s="10"/>
      <c r="P168" s="10"/>
      <c r="Q168" s="7" t="str">
        <f aca="false">IF(OR(O168="",P168=""),"",IF(O168=P168,"Sí","No"))</f>
        <v/>
      </c>
      <c r="R168" s="10"/>
      <c r="S168" s="8"/>
      <c r="T168" s="8"/>
    </row>
    <row r="169" customFormat="false" ht="15" hidden="false" customHeight="false" outlineLevel="0" collapsed="false">
      <c r="A169" s="7" t="s">
        <v>245</v>
      </c>
      <c r="B169" s="10"/>
      <c r="C169" s="8"/>
      <c r="D169" s="9"/>
      <c r="E169" s="13" t="str">
        <f aca="false">IF(B169="","",IFERROR(INDEX(Iniciativas!$J$2:$J$11,MATCH(B169,Iniciativas!$B$2:$B$11,0)),""))</f>
        <v/>
      </c>
      <c r="F169" s="7" t="str">
        <f aca="false">IF(OR(NOT(ISNUMBER(D169)),NOT(ISNUMBER(E169))),"",IF(D169&gt;E169,"Sí","No"))</f>
        <v/>
      </c>
      <c r="G169" s="10"/>
      <c r="H169" s="10"/>
      <c r="I169" s="10"/>
      <c r="J169" s="8"/>
      <c r="K169" s="7" t="str">
        <f aca="false">IF(OR(F169="",I169=""),"",IF(AND(F169="Sí",I169="Sí"),"Sí","No"))</f>
        <v/>
      </c>
      <c r="L169" s="10"/>
      <c r="M169" s="10"/>
      <c r="N169" s="8"/>
      <c r="O169" s="10"/>
      <c r="P169" s="10"/>
      <c r="Q169" s="7" t="str">
        <f aca="false">IF(OR(O169="",P169=""),"",IF(O169=P169,"Sí","No"))</f>
        <v/>
      </c>
      <c r="R169" s="10"/>
      <c r="S169" s="8"/>
      <c r="T169" s="8"/>
    </row>
    <row r="170" customFormat="false" ht="15" hidden="false" customHeight="false" outlineLevel="0" collapsed="false">
      <c r="A170" s="7" t="s">
        <v>246</v>
      </c>
      <c r="B170" s="10"/>
      <c r="C170" s="8"/>
      <c r="D170" s="9"/>
      <c r="E170" s="13" t="str">
        <f aca="false">IF(B170="","",IFERROR(INDEX(Iniciativas!$J$2:$J$11,MATCH(B170,Iniciativas!$B$2:$B$11,0)),""))</f>
        <v/>
      </c>
      <c r="F170" s="7" t="str">
        <f aca="false">IF(OR(NOT(ISNUMBER(D170)),NOT(ISNUMBER(E170))),"",IF(D170&gt;E170,"Sí","No"))</f>
        <v/>
      </c>
      <c r="G170" s="10"/>
      <c r="H170" s="10"/>
      <c r="I170" s="10"/>
      <c r="J170" s="8"/>
      <c r="K170" s="7" t="str">
        <f aca="false">IF(OR(F170="",I170=""),"",IF(AND(F170="Sí",I170="Sí"),"Sí","No"))</f>
        <v/>
      </c>
      <c r="L170" s="10"/>
      <c r="M170" s="10"/>
      <c r="N170" s="8"/>
      <c r="O170" s="10"/>
      <c r="P170" s="10"/>
      <c r="Q170" s="7" t="str">
        <f aca="false">IF(OR(O170="",P170=""),"",IF(O170=P170,"Sí","No"))</f>
        <v/>
      </c>
      <c r="R170" s="10"/>
      <c r="S170" s="8"/>
      <c r="T170" s="8"/>
    </row>
    <row r="171" customFormat="false" ht="15" hidden="false" customHeight="false" outlineLevel="0" collapsed="false">
      <c r="A171" s="7" t="s">
        <v>247</v>
      </c>
      <c r="B171" s="10"/>
      <c r="C171" s="8"/>
      <c r="D171" s="9"/>
      <c r="E171" s="13" t="str">
        <f aca="false">IF(B171="","",IFERROR(INDEX(Iniciativas!$J$2:$J$11,MATCH(B171,Iniciativas!$B$2:$B$11,0)),""))</f>
        <v/>
      </c>
      <c r="F171" s="7" t="str">
        <f aca="false">IF(OR(NOT(ISNUMBER(D171)),NOT(ISNUMBER(E171))),"",IF(D171&gt;E171,"Sí","No"))</f>
        <v/>
      </c>
      <c r="G171" s="10"/>
      <c r="H171" s="10"/>
      <c r="I171" s="10"/>
      <c r="J171" s="8"/>
      <c r="K171" s="7" t="str">
        <f aca="false">IF(OR(F171="",I171=""),"",IF(AND(F171="Sí",I171="Sí"),"Sí","No"))</f>
        <v/>
      </c>
      <c r="L171" s="10"/>
      <c r="M171" s="10"/>
      <c r="N171" s="8"/>
      <c r="O171" s="10"/>
      <c r="P171" s="10"/>
      <c r="Q171" s="7" t="str">
        <f aca="false">IF(OR(O171="",P171=""),"",IF(O171=P171,"Sí","No"))</f>
        <v/>
      </c>
      <c r="R171" s="10"/>
      <c r="S171" s="8"/>
      <c r="T171" s="8"/>
    </row>
    <row r="172" customFormat="false" ht="15" hidden="false" customHeight="false" outlineLevel="0" collapsed="false">
      <c r="A172" s="7" t="s">
        <v>248</v>
      </c>
      <c r="B172" s="10"/>
      <c r="C172" s="8"/>
      <c r="D172" s="9"/>
      <c r="E172" s="13" t="str">
        <f aca="false">IF(B172="","",IFERROR(INDEX(Iniciativas!$J$2:$J$11,MATCH(B172,Iniciativas!$B$2:$B$11,0)),""))</f>
        <v/>
      </c>
      <c r="F172" s="7" t="str">
        <f aca="false">IF(OR(NOT(ISNUMBER(D172)),NOT(ISNUMBER(E172))),"",IF(D172&gt;E172,"Sí","No"))</f>
        <v/>
      </c>
      <c r="G172" s="10"/>
      <c r="H172" s="10"/>
      <c r="I172" s="10"/>
      <c r="J172" s="8"/>
      <c r="K172" s="7" t="str">
        <f aca="false">IF(OR(F172="",I172=""),"",IF(AND(F172="Sí",I172="Sí"),"Sí","No"))</f>
        <v/>
      </c>
      <c r="L172" s="10"/>
      <c r="M172" s="10"/>
      <c r="N172" s="8"/>
      <c r="O172" s="10"/>
      <c r="P172" s="10"/>
      <c r="Q172" s="7" t="str">
        <f aca="false">IF(OR(O172="",P172=""),"",IF(O172=P172,"Sí","No"))</f>
        <v/>
      </c>
      <c r="R172" s="10"/>
      <c r="S172" s="8"/>
      <c r="T172" s="8"/>
    </row>
    <row r="173" customFormat="false" ht="15" hidden="false" customHeight="false" outlineLevel="0" collapsed="false">
      <c r="A173" s="7" t="s">
        <v>249</v>
      </c>
      <c r="B173" s="10"/>
      <c r="C173" s="8"/>
      <c r="D173" s="9"/>
      <c r="E173" s="13" t="str">
        <f aca="false">IF(B173="","",IFERROR(INDEX(Iniciativas!$J$2:$J$11,MATCH(B173,Iniciativas!$B$2:$B$11,0)),""))</f>
        <v/>
      </c>
      <c r="F173" s="7" t="str">
        <f aca="false">IF(OR(NOT(ISNUMBER(D173)),NOT(ISNUMBER(E173))),"",IF(D173&gt;E173,"Sí","No"))</f>
        <v/>
      </c>
      <c r="G173" s="10"/>
      <c r="H173" s="10"/>
      <c r="I173" s="10"/>
      <c r="J173" s="8"/>
      <c r="K173" s="7" t="str">
        <f aca="false">IF(OR(F173="",I173=""),"",IF(AND(F173="Sí",I173="Sí"),"Sí","No"))</f>
        <v/>
      </c>
      <c r="L173" s="10"/>
      <c r="M173" s="10"/>
      <c r="N173" s="8"/>
      <c r="O173" s="10"/>
      <c r="P173" s="10"/>
      <c r="Q173" s="7" t="str">
        <f aca="false">IF(OR(O173="",P173=""),"",IF(O173=P173,"Sí","No"))</f>
        <v/>
      </c>
      <c r="R173" s="10"/>
      <c r="S173" s="8"/>
      <c r="T173" s="8"/>
    </row>
    <row r="174" customFormat="false" ht="15" hidden="false" customHeight="false" outlineLevel="0" collapsed="false">
      <c r="A174" s="7" t="s">
        <v>250</v>
      </c>
      <c r="B174" s="10"/>
      <c r="C174" s="8"/>
      <c r="D174" s="9"/>
      <c r="E174" s="13" t="str">
        <f aca="false">IF(B174="","",IFERROR(INDEX(Iniciativas!$J$2:$J$11,MATCH(B174,Iniciativas!$B$2:$B$11,0)),""))</f>
        <v/>
      </c>
      <c r="F174" s="7" t="str">
        <f aca="false">IF(OR(NOT(ISNUMBER(D174)),NOT(ISNUMBER(E174))),"",IF(D174&gt;E174,"Sí","No"))</f>
        <v/>
      </c>
      <c r="G174" s="10"/>
      <c r="H174" s="10"/>
      <c r="I174" s="10"/>
      <c r="J174" s="8"/>
      <c r="K174" s="7" t="str">
        <f aca="false">IF(OR(F174="",I174=""),"",IF(AND(F174="Sí",I174="Sí"),"Sí","No"))</f>
        <v/>
      </c>
      <c r="L174" s="10"/>
      <c r="M174" s="10"/>
      <c r="N174" s="8"/>
      <c r="O174" s="10"/>
      <c r="P174" s="10"/>
      <c r="Q174" s="7" t="str">
        <f aca="false">IF(OR(O174="",P174=""),"",IF(O174=P174,"Sí","No"))</f>
        <v/>
      </c>
      <c r="R174" s="10"/>
      <c r="S174" s="8"/>
      <c r="T174" s="8"/>
    </row>
    <row r="175" customFormat="false" ht="15" hidden="false" customHeight="false" outlineLevel="0" collapsed="false">
      <c r="A175" s="7" t="s">
        <v>251</v>
      </c>
      <c r="B175" s="10"/>
      <c r="C175" s="8"/>
      <c r="D175" s="9"/>
      <c r="E175" s="13" t="str">
        <f aca="false">IF(B175="","",IFERROR(INDEX(Iniciativas!$J$2:$J$11,MATCH(B175,Iniciativas!$B$2:$B$11,0)),""))</f>
        <v/>
      </c>
      <c r="F175" s="7" t="str">
        <f aca="false">IF(OR(NOT(ISNUMBER(D175)),NOT(ISNUMBER(E175))),"",IF(D175&gt;E175,"Sí","No"))</f>
        <v/>
      </c>
      <c r="G175" s="10"/>
      <c r="H175" s="10"/>
      <c r="I175" s="10"/>
      <c r="J175" s="8"/>
      <c r="K175" s="7" t="str">
        <f aca="false">IF(OR(F175="",I175=""),"",IF(AND(F175="Sí",I175="Sí"),"Sí","No"))</f>
        <v/>
      </c>
      <c r="L175" s="10"/>
      <c r="M175" s="10"/>
      <c r="N175" s="8"/>
      <c r="O175" s="10"/>
      <c r="P175" s="10"/>
      <c r="Q175" s="7" t="str">
        <f aca="false">IF(OR(O175="",P175=""),"",IF(O175=P175,"Sí","No"))</f>
        <v/>
      </c>
      <c r="R175" s="10"/>
      <c r="S175" s="8"/>
      <c r="T175" s="8"/>
    </row>
    <row r="176" customFormat="false" ht="15" hidden="false" customHeight="false" outlineLevel="0" collapsed="false">
      <c r="A176" s="7" t="s">
        <v>252</v>
      </c>
      <c r="B176" s="10"/>
      <c r="C176" s="8"/>
      <c r="D176" s="9"/>
      <c r="E176" s="13" t="str">
        <f aca="false">IF(B176="","",IFERROR(INDEX(Iniciativas!$J$2:$J$11,MATCH(B176,Iniciativas!$B$2:$B$11,0)),""))</f>
        <v/>
      </c>
      <c r="F176" s="7" t="str">
        <f aca="false">IF(OR(NOT(ISNUMBER(D176)),NOT(ISNUMBER(E176))),"",IF(D176&gt;E176,"Sí","No"))</f>
        <v/>
      </c>
      <c r="G176" s="10"/>
      <c r="H176" s="10"/>
      <c r="I176" s="10"/>
      <c r="J176" s="8"/>
      <c r="K176" s="7" t="str">
        <f aca="false">IF(OR(F176="",I176=""),"",IF(AND(F176="Sí",I176="Sí"),"Sí","No"))</f>
        <v/>
      </c>
      <c r="L176" s="10"/>
      <c r="M176" s="10"/>
      <c r="N176" s="8"/>
      <c r="O176" s="10"/>
      <c r="P176" s="10"/>
      <c r="Q176" s="7" t="str">
        <f aca="false">IF(OR(O176="",P176=""),"",IF(O176=P176,"Sí","No"))</f>
        <v/>
      </c>
      <c r="R176" s="10"/>
      <c r="S176" s="8"/>
      <c r="T176" s="8"/>
    </row>
    <row r="177" customFormat="false" ht="15" hidden="false" customHeight="false" outlineLevel="0" collapsed="false">
      <c r="A177" s="7" t="s">
        <v>253</v>
      </c>
      <c r="B177" s="10"/>
      <c r="C177" s="8"/>
      <c r="D177" s="9"/>
      <c r="E177" s="13" t="str">
        <f aca="false">IF(B177="","",IFERROR(INDEX(Iniciativas!$J$2:$J$11,MATCH(B177,Iniciativas!$B$2:$B$11,0)),""))</f>
        <v/>
      </c>
      <c r="F177" s="7" t="str">
        <f aca="false">IF(OR(NOT(ISNUMBER(D177)),NOT(ISNUMBER(E177))),"",IF(D177&gt;E177,"Sí","No"))</f>
        <v/>
      </c>
      <c r="G177" s="10"/>
      <c r="H177" s="10"/>
      <c r="I177" s="10"/>
      <c r="J177" s="8"/>
      <c r="K177" s="7" t="str">
        <f aca="false">IF(OR(F177="",I177=""),"",IF(AND(F177="Sí",I177="Sí"),"Sí","No"))</f>
        <v/>
      </c>
      <c r="L177" s="10"/>
      <c r="M177" s="10"/>
      <c r="N177" s="8"/>
      <c r="O177" s="10"/>
      <c r="P177" s="10"/>
      <c r="Q177" s="7" t="str">
        <f aca="false">IF(OR(O177="",P177=""),"",IF(O177=P177,"Sí","No"))</f>
        <v/>
      </c>
      <c r="R177" s="10"/>
      <c r="S177" s="8"/>
      <c r="T177" s="8"/>
    </row>
    <row r="178" customFormat="false" ht="15" hidden="false" customHeight="false" outlineLevel="0" collapsed="false">
      <c r="A178" s="7" t="s">
        <v>254</v>
      </c>
      <c r="B178" s="10"/>
      <c r="C178" s="8"/>
      <c r="D178" s="9"/>
      <c r="E178" s="13" t="str">
        <f aca="false">IF(B178="","",IFERROR(INDEX(Iniciativas!$J$2:$J$11,MATCH(B178,Iniciativas!$B$2:$B$11,0)),""))</f>
        <v/>
      </c>
      <c r="F178" s="7" t="str">
        <f aca="false">IF(OR(NOT(ISNUMBER(D178)),NOT(ISNUMBER(E178))),"",IF(D178&gt;E178,"Sí","No"))</f>
        <v/>
      </c>
      <c r="G178" s="10"/>
      <c r="H178" s="10"/>
      <c r="I178" s="10"/>
      <c r="J178" s="8"/>
      <c r="K178" s="7" t="str">
        <f aca="false">IF(OR(F178="",I178=""),"",IF(AND(F178="Sí",I178="Sí"),"Sí","No"))</f>
        <v/>
      </c>
      <c r="L178" s="10"/>
      <c r="M178" s="10"/>
      <c r="N178" s="8"/>
      <c r="O178" s="10"/>
      <c r="P178" s="10"/>
      <c r="Q178" s="7" t="str">
        <f aca="false">IF(OR(O178="",P178=""),"",IF(O178=P178,"Sí","No"))</f>
        <v/>
      </c>
      <c r="R178" s="10"/>
      <c r="S178" s="8"/>
      <c r="T178" s="8"/>
    </row>
    <row r="179" customFormat="false" ht="15" hidden="false" customHeight="false" outlineLevel="0" collapsed="false">
      <c r="A179" s="7" t="s">
        <v>255</v>
      </c>
      <c r="B179" s="10"/>
      <c r="C179" s="8"/>
      <c r="D179" s="9"/>
      <c r="E179" s="13" t="str">
        <f aca="false">IF(B179="","",IFERROR(INDEX(Iniciativas!$J$2:$J$11,MATCH(B179,Iniciativas!$B$2:$B$11,0)),""))</f>
        <v/>
      </c>
      <c r="F179" s="7" t="str">
        <f aca="false">IF(OR(NOT(ISNUMBER(D179)),NOT(ISNUMBER(E179))),"",IF(D179&gt;E179,"Sí","No"))</f>
        <v/>
      </c>
      <c r="G179" s="10"/>
      <c r="H179" s="10"/>
      <c r="I179" s="10"/>
      <c r="J179" s="8"/>
      <c r="K179" s="7" t="str">
        <f aca="false">IF(OR(F179="",I179=""),"",IF(AND(F179="Sí",I179="Sí"),"Sí","No"))</f>
        <v/>
      </c>
      <c r="L179" s="10"/>
      <c r="M179" s="10"/>
      <c r="N179" s="8"/>
      <c r="O179" s="10"/>
      <c r="P179" s="10"/>
      <c r="Q179" s="7" t="str">
        <f aca="false">IF(OR(O179="",P179=""),"",IF(O179=P179,"Sí","No"))</f>
        <v/>
      </c>
      <c r="R179" s="10"/>
      <c r="S179" s="8"/>
      <c r="T179" s="8"/>
    </row>
    <row r="180" customFormat="false" ht="15" hidden="false" customHeight="false" outlineLevel="0" collapsed="false">
      <c r="A180" s="7" t="s">
        <v>256</v>
      </c>
      <c r="B180" s="10"/>
      <c r="C180" s="8"/>
      <c r="D180" s="9"/>
      <c r="E180" s="13" t="str">
        <f aca="false">IF(B180="","",IFERROR(INDEX(Iniciativas!$J$2:$J$11,MATCH(B180,Iniciativas!$B$2:$B$11,0)),""))</f>
        <v/>
      </c>
      <c r="F180" s="7" t="str">
        <f aca="false">IF(OR(NOT(ISNUMBER(D180)),NOT(ISNUMBER(E180))),"",IF(D180&gt;E180,"Sí","No"))</f>
        <v/>
      </c>
      <c r="G180" s="10"/>
      <c r="H180" s="10"/>
      <c r="I180" s="10"/>
      <c r="J180" s="8"/>
      <c r="K180" s="7" t="str">
        <f aca="false">IF(OR(F180="",I180=""),"",IF(AND(F180="Sí",I180="Sí"),"Sí","No"))</f>
        <v/>
      </c>
      <c r="L180" s="10"/>
      <c r="M180" s="10"/>
      <c r="N180" s="8"/>
      <c r="O180" s="10"/>
      <c r="P180" s="10"/>
      <c r="Q180" s="7" t="str">
        <f aca="false">IF(OR(O180="",P180=""),"",IF(O180=P180,"Sí","No"))</f>
        <v/>
      </c>
      <c r="R180" s="10"/>
      <c r="S180" s="8"/>
      <c r="T180" s="8"/>
    </row>
    <row r="181" customFormat="false" ht="15" hidden="false" customHeight="false" outlineLevel="0" collapsed="false">
      <c r="A181" s="7" t="s">
        <v>257</v>
      </c>
      <c r="B181" s="10"/>
      <c r="C181" s="8"/>
      <c r="D181" s="9"/>
      <c r="E181" s="13" t="str">
        <f aca="false">IF(B181="","",IFERROR(INDEX(Iniciativas!$J$2:$J$11,MATCH(B181,Iniciativas!$B$2:$B$11,0)),""))</f>
        <v/>
      </c>
      <c r="F181" s="7" t="str">
        <f aca="false">IF(OR(NOT(ISNUMBER(D181)),NOT(ISNUMBER(E181))),"",IF(D181&gt;E181,"Sí","No"))</f>
        <v/>
      </c>
      <c r="G181" s="10"/>
      <c r="H181" s="10"/>
      <c r="I181" s="10"/>
      <c r="J181" s="8"/>
      <c r="K181" s="7" t="str">
        <f aca="false">IF(OR(F181="",I181=""),"",IF(AND(F181="Sí",I181="Sí"),"Sí","No"))</f>
        <v/>
      </c>
      <c r="L181" s="10"/>
      <c r="M181" s="10"/>
      <c r="N181" s="8"/>
      <c r="O181" s="10"/>
      <c r="P181" s="10"/>
      <c r="Q181" s="7" t="str">
        <f aca="false">IF(OR(O181="",P181=""),"",IF(O181=P181,"Sí","No"))</f>
        <v/>
      </c>
      <c r="R181" s="10"/>
      <c r="S181" s="8"/>
      <c r="T181" s="8"/>
    </row>
    <row r="182" customFormat="false" ht="15" hidden="false" customHeight="false" outlineLevel="0" collapsed="false">
      <c r="A182" s="7" t="s">
        <v>258</v>
      </c>
      <c r="B182" s="10"/>
      <c r="C182" s="8"/>
      <c r="D182" s="9"/>
      <c r="E182" s="13" t="str">
        <f aca="false">IF(B182="","",IFERROR(INDEX(Iniciativas!$J$2:$J$11,MATCH(B182,Iniciativas!$B$2:$B$11,0)),""))</f>
        <v/>
      </c>
      <c r="F182" s="7" t="str">
        <f aca="false">IF(OR(NOT(ISNUMBER(D182)),NOT(ISNUMBER(E182))),"",IF(D182&gt;E182,"Sí","No"))</f>
        <v/>
      </c>
      <c r="G182" s="10"/>
      <c r="H182" s="10"/>
      <c r="I182" s="10"/>
      <c r="J182" s="8"/>
      <c r="K182" s="7" t="str">
        <f aca="false">IF(OR(F182="",I182=""),"",IF(AND(F182="Sí",I182="Sí"),"Sí","No"))</f>
        <v/>
      </c>
      <c r="L182" s="10"/>
      <c r="M182" s="10"/>
      <c r="N182" s="8"/>
      <c r="O182" s="10"/>
      <c r="P182" s="10"/>
      <c r="Q182" s="7" t="str">
        <f aca="false">IF(OR(O182="",P182=""),"",IF(O182=P182,"Sí","No"))</f>
        <v/>
      </c>
      <c r="R182" s="10"/>
      <c r="S182" s="8"/>
      <c r="T182" s="8"/>
    </row>
    <row r="183" customFormat="false" ht="15" hidden="false" customHeight="false" outlineLevel="0" collapsed="false">
      <c r="A183" s="7" t="s">
        <v>259</v>
      </c>
      <c r="B183" s="10"/>
      <c r="C183" s="8"/>
      <c r="D183" s="9"/>
      <c r="E183" s="13" t="str">
        <f aca="false">IF(B183="","",IFERROR(INDEX(Iniciativas!$J$2:$J$11,MATCH(B183,Iniciativas!$B$2:$B$11,0)),""))</f>
        <v/>
      </c>
      <c r="F183" s="7" t="str">
        <f aca="false">IF(OR(NOT(ISNUMBER(D183)),NOT(ISNUMBER(E183))),"",IF(D183&gt;E183,"Sí","No"))</f>
        <v/>
      </c>
      <c r="G183" s="10"/>
      <c r="H183" s="10"/>
      <c r="I183" s="10"/>
      <c r="J183" s="8"/>
      <c r="K183" s="7" t="str">
        <f aca="false">IF(OR(F183="",I183=""),"",IF(AND(F183="Sí",I183="Sí"),"Sí","No"))</f>
        <v/>
      </c>
      <c r="L183" s="10"/>
      <c r="M183" s="10"/>
      <c r="N183" s="8"/>
      <c r="O183" s="10"/>
      <c r="P183" s="10"/>
      <c r="Q183" s="7" t="str">
        <f aca="false">IF(OR(O183="",P183=""),"",IF(O183=P183,"Sí","No"))</f>
        <v/>
      </c>
      <c r="R183" s="10"/>
      <c r="S183" s="8"/>
      <c r="T183" s="8"/>
    </row>
    <row r="184" customFormat="false" ht="15" hidden="false" customHeight="false" outlineLevel="0" collapsed="false">
      <c r="A184" s="7" t="s">
        <v>260</v>
      </c>
      <c r="B184" s="10"/>
      <c r="C184" s="8"/>
      <c r="D184" s="9"/>
      <c r="E184" s="13" t="str">
        <f aca="false">IF(B184="","",IFERROR(INDEX(Iniciativas!$J$2:$J$11,MATCH(B184,Iniciativas!$B$2:$B$11,0)),""))</f>
        <v/>
      </c>
      <c r="F184" s="7" t="str">
        <f aca="false">IF(OR(NOT(ISNUMBER(D184)),NOT(ISNUMBER(E184))),"",IF(D184&gt;E184,"Sí","No"))</f>
        <v/>
      </c>
      <c r="G184" s="10"/>
      <c r="H184" s="10"/>
      <c r="I184" s="10"/>
      <c r="J184" s="8"/>
      <c r="K184" s="7" t="str">
        <f aca="false">IF(OR(F184="",I184=""),"",IF(AND(F184="Sí",I184="Sí"),"Sí","No"))</f>
        <v/>
      </c>
      <c r="L184" s="10"/>
      <c r="M184" s="10"/>
      <c r="N184" s="8"/>
      <c r="O184" s="10"/>
      <c r="P184" s="10"/>
      <c r="Q184" s="7" t="str">
        <f aca="false">IF(OR(O184="",P184=""),"",IF(O184=P184,"Sí","No"))</f>
        <v/>
      </c>
      <c r="R184" s="10"/>
      <c r="S184" s="8"/>
      <c r="T184" s="8"/>
    </row>
    <row r="185" customFormat="false" ht="15" hidden="false" customHeight="false" outlineLevel="0" collapsed="false">
      <c r="A185" s="7" t="s">
        <v>261</v>
      </c>
      <c r="B185" s="10"/>
      <c r="C185" s="8"/>
      <c r="D185" s="9"/>
      <c r="E185" s="13" t="str">
        <f aca="false">IF(B185="","",IFERROR(INDEX(Iniciativas!$J$2:$J$11,MATCH(B185,Iniciativas!$B$2:$B$11,0)),""))</f>
        <v/>
      </c>
      <c r="F185" s="7" t="str">
        <f aca="false">IF(OR(NOT(ISNUMBER(D185)),NOT(ISNUMBER(E185))),"",IF(D185&gt;E185,"Sí","No"))</f>
        <v/>
      </c>
      <c r="G185" s="10"/>
      <c r="H185" s="10"/>
      <c r="I185" s="10"/>
      <c r="J185" s="8"/>
      <c r="K185" s="7" t="str">
        <f aca="false">IF(OR(F185="",I185=""),"",IF(AND(F185="Sí",I185="Sí"),"Sí","No"))</f>
        <v/>
      </c>
      <c r="L185" s="10"/>
      <c r="M185" s="10"/>
      <c r="N185" s="8"/>
      <c r="O185" s="10"/>
      <c r="P185" s="10"/>
      <c r="Q185" s="7" t="str">
        <f aca="false">IF(OR(O185="",P185=""),"",IF(O185=P185,"Sí","No"))</f>
        <v/>
      </c>
      <c r="R185" s="10"/>
      <c r="S185" s="8"/>
      <c r="T185" s="8"/>
    </row>
    <row r="186" customFormat="false" ht="15" hidden="false" customHeight="false" outlineLevel="0" collapsed="false">
      <c r="A186" s="7" t="s">
        <v>262</v>
      </c>
      <c r="B186" s="10"/>
      <c r="C186" s="8"/>
      <c r="D186" s="9"/>
      <c r="E186" s="13" t="str">
        <f aca="false">IF(B186="","",IFERROR(INDEX(Iniciativas!$J$2:$J$11,MATCH(B186,Iniciativas!$B$2:$B$11,0)),""))</f>
        <v/>
      </c>
      <c r="F186" s="7" t="str">
        <f aca="false">IF(OR(NOT(ISNUMBER(D186)),NOT(ISNUMBER(E186))),"",IF(D186&gt;E186,"Sí","No"))</f>
        <v/>
      </c>
      <c r="G186" s="10"/>
      <c r="H186" s="10"/>
      <c r="I186" s="10"/>
      <c r="J186" s="8"/>
      <c r="K186" s="7" t="str">
        <f aca="false">IF(OR(F186="",I186=""),"",IF(AND(F186="Sí",I186="Sí"),"Sí","No"))</f>
        <v/>
      </c>
      <c r="L186" s="10"/>
      <c r="M186" s="10"/>
      <c r="N186" s="8"/>
      <c r="O186" s="10"/>
      <c r="P186" s="10"/>
      <c r="Q186" s="7" t="str">
        <f aca="false">IF(OR(O186="",P186=""),"",IF(O186=P186,"Sí","No"))</f>
        <v/>
      </c>
      <c r="R186" s="10"/>
      <c r="S186" s="8"/>
      <c r="T186" s="8"/>
    </row>
    <row r="187" customFormat="false" ht="15" hidden="false" customHeight="false" outlineLevel="0" collapsed="false">
      <c r="A187" s="7" t="s">
        <v>263</v>
      </c>
      <c r="B187" s="10"/>
      <c r="C187" s="8"/>
      <c r="D187" s="9"/>
      <c r="E187" s="13" t="str">
        <f aca="false">IF(B187="","",IFERROR(INDEX(Iniciativas!$J$2:$J$11,MATCH(B187,Iniciativas!$B$2:$B$11,0)),""))</f>
        <v/>
      </c>
      <c r="F187" s="7" t="str">
        <f aca="false">IF(OR(NOT(ISNUMBER(D187)),NOT(ISNUMBER(E187))),"",IF(D187&gt;E187,"Sí","No"))</f>
        <v/>
      </c>
      <c r="G187" s="10"/>
      <c r="H187" s="10"/>
      <c r="I187" s="10"/>
      <c r="J187" s="8"/>
      <c r="K187" s="7" t="str">
        <f aca="false">IF(OR(F187="",I187=""),"",IF(AND(F187="Sí",I187="Sí"),"Sí","No"))</f>
        <v/>
      </c>
      <c r="L187" s="10"/>
      <c r="M187" s="10"/>
      <c r="N187" s="8"/>
      <c r="O187" s="10"/>
      <c r="P187" s="10"/>
      <c r="Q187" s="7" t="str">
        <f aca="false">IF(OR(O187="",P187=""),"",IF(O187=P187,"Sí","No"))</f>
        <v/>
      </c>
      <c r="R187" s="10"/>
      <c r="S187" s="8"/>
      <c r="T187" s="8"/>
    </row>
    <row r="188" customFormat="false" ht="15" hidden="false" customHeight="false" outlineLevel="0" collapsed="false">
      <c r="A188" s="7" t="s">
        <v>264</v>
      </c>
      <c r="B188" s="10"/>
      <c r="C188" s="8"/>
      <c r="D188" s="9"/>
      <c r="E188" s="13" t="str">
        <f aca="false">IF(B188="","",IFERROR(INDEX(Iniciativas!$J$2:$J$11,MATCH(B188,Iniciativas!$B$2:$B$11,0)),""))</f>
        <v/>
      </c>
      <c r="F188" s="7" t="str">
        <f aca="false">IF(OR(NOT(ISNUMBER(D188)),NOT(ISNUMBER(E188))),"",IF(D188&gt;E188,"Sí","No"))</f>
        <v/>
      </c>
      <c r="G188" s="10"/>
      <c r="H188" s="10"/>
      <c r="I188" s="10"/>
      <c r="J188" s="8"/>
      <c r="K188" s="7" t="str">
        <f aca="false">IF(OR(F188="",I188=""),"",IF(AND(F188="Sí",I188="Sí"),"Sí","No"))</f>
        <v/>
      </c>
      <c r="L188" s="10"/>
      <c r="M188" s="10"/>
      <c r="N188" s="8"/>
      <c r="O188" s="10"/>
      <c r="P188" s="10"/>
      <c r="Q188" s="7" t="str">
        <f aca="false">IF(OR(O188="",P188=""),"",IF(O188=P188,"Sí","No"))</f>
        <v/>
      </c>
      <c r="R188" s="10"/>
      <c r="S188" s="8"/>
      <c r="T188" s="8"/>
    </row>
    <row r="189" customFormat="false" ht="15" hidden="false" customHeight="false" outlineLevel="0" collapsed="false">
      <c r="A189" s="7" t="s">
        <v>265</v>
      </c>
      <c r="B189" s="10"/>
      <c r="C189" s="8"/>
      <c r="D189" s="9"/>
      <c r="E189" s="13" t="str">
        <f aca="false">IF(B189="","",IFERROR(INDEX(Iniciativas!$J$2:$J$11,MATCH(B189,Iniciativas!$B$2:$B$11,0)),""))</f>
        <v/>
      </c>
      <c r="F189" s="7" t="str">
        <f aca="false">IF(OR(NOT(ISNUMBER(D189)),NOT(ISNUMBER(E189))),"",IF(D189&gt;E189,"Sí","No"))</f>
        <v/>
      </c>
      <c r="G189" s="10"/>
      <c r="H189" s="10"/>
      <c r="I189" s="10"/>
      <c r="J189" s="8"/>
      <c r="K189" s="7" t="str">
        <f aca="false">IF(OR(F189="",I189=""),"",IF(AND(F189="Sí",I189="Sí"),"Sí","No"))</f>
        <v/>
      </c>
      <c r="L189" s="10"/>
      <c r="M189" s="10"/>
      <c r="N189" s="8"/>
      <c r="O189" s="10"/>
      <c r="P189" s="10"/>
      <c r="Q189" s="7" t="str">
        <f aca="false">IF(OR(O189="",P189=""),"",IF(O189=P189,"Sí","No"))</f>
        <v/>
      </c>
      <c r="R189" s="10"/>
      <c r="S189" s="8"/>
      <c r="T189" s="8"/>
    </row>
    <row r="190" customFormat="false" ht="15" hidden="false" customHeight="false" outlineLevel="0" collapsed="false">
      <c r="A190" s="7" t="s">
        <v>266</v>
      </c>
      <c r="B190" s="10"/>
      <c r="C190" s="8"/>
      <c r="D190" s="9"/>
      <c r="E190" s="13" t="str">
        <f aca="false">IF(B190="","",IFERROR(INDEX(Iniciativas!$J$2:$J$11,MATCH(B190,Iniciativas!$B$2:$B$11,0)),""))</f>
        <v/>
      </c>
      <c r="F190" s="7" t="str">
        <f aca="false">IF(OR(NOT(ISNUMBER(D190)),NOT(ISNUMBER(E190))),"",IF(D190&gt;E190,"Sí","No"))</f>
        <v/>
      </c>
      <c r="G190" s="10"/>
      <c r="H190" s="10"/>
      <c r="I190" s="10"/>
      <c r="J190" s="8"/>
      <c r="K190" s="7" t="str">
        <f aca="false">IF(OR(F190="",I190=""),"",IF(AND(F190="Sí",I190="Sí"),"Sí","No"))</f>
        <v/>
      </c>
      <c r="L190" s="10"/>
      <c r="M190" s="10"/>
      <c r="N190" s="8"/>
      <c r="O190" s="10"/>
      <c r="P190" s="10"/>
      <c r="Q190" s="7" t="str">
        <f aca="false">IF(OR(O190="",P190=""),"",IF(O190=P190,"Sí","No"))</f>
        <v/>
      </c>
      <c r="R190" s="10"/>
      <c r="S190" s="8"/>
      <c r="T190" s="8"/>
    </row>
    <row r="191" customFormat="false" ht="15" hidden="false" customHeight="false" outlineLevel="0" collapsed="false">
      <c r="A191" s="7" t="s">
        <v>267</v>
      </c>
      <c r="B191" s="10"/>
      <c r="C191" s="8"/>
      <c r="D191" s="9"/>
      <c r="E191" s="13" t="str">
        <f aca="false">IF(B191="","",IFERROR(INDEX(Iniciativas!$J$2:$J$11,MATCH(B191,Iniciativas!$B$2:$B$11,0)),""))</f>
        <v/>
      </c>
      <c r="F191" s="7" t="str">
        <f aca="false">IF(OR(NOT(ISNUMBER(D191)),NOT(ISNUMBER(E191))),"",IF(D191&gt;E191,"Sí","No"))</f>
        <v/>
      </c>
      <c r="G191" s="10"/>
      <c r="H191" s="10"/>
      <c r="I191" s="10"/>
      <c r="J191" s="8"/>
      <c r="K191" s="7" t="str">
        <f aca="false">IF(OR(F191="",I191=""),"",IF(AND(F191="Sí",I191="Sí"),"Sí","No"))</f>
        <v/>
      </c>
      <c r="L191" s="10"/>
      <c r="M191" s="10"/>
      <c r="N191" s="8"/>
      <c r="O191" s="10"/>
      <c r="P191" s="10"/>
      <c r="Q191" s="7" t="str">
        <f aca="false">IF(OR(O191="",P191=""),"",IF(O191=P191,"Sí","No"))</f>
        <v/>
      </c>
      <c r="R191" s="10"/>
      <c r="S191" s="8"/>
      <c r="T191" s="8"/>
    </row>
    <row r="192" customFormat="false" ht="15" hidden="false" customHeight="false" outlineLevel="0" collapsed="false">
      <c r="A192" s="7" t="s">
        <v>268</v>
      </c>
      <c r="B192" s="10"/>
      <c r="C192" s="8"/>
      <c r="D192" s="9"/>
      <c r="E192" s="13" t="str">
        <f aca="false">IF(B192="","",IFERROR(INDEX(Iniciativas!$J$2:$J$11,MATCH(B192,Iniciativas!$B$2:$B$11,0)),""))</f>
        <v/>
      </c>
      <c r="F192" s="7" t="str">
        <f aca="false">IF(OR(NOT(ISNUMBER(D192)),NOT(ISNUMBER(E192))),"",IF(D192&gt;E192,"Sí","No"))</f>
        <v/>
      </c>
      <c r="G192" s="10"/>
      <c r="H192" s="10"/>
      <c r="I192" s="10"/>
      <c r="J192" s="8"/>
      <c r="K192" s="7" t="str">
        <f aca="false">IF(OR(F192="",I192=""),"",IF(AND(F192="Sí",I192="Sí"),"Sí","No"))</f>
        <v/>
      </c>
      <c r="L192" s="10"/>
      <c r="M192" s="10"/>
      <c r="N192" s="8"/>
      <c r="O192" s="10"/>
      <c r="P192" s="10"/>
      <c r="Q192" s="7" t="str">
        <f aca="false">IF(OR(O192="",P192=""),"",IF(O192=P192,"Sí","No"))</f>
        <v/>
      </c>
      <c r="R192" s="10"/>
      <c r="S192" s="8"/>
      <c r="T192" s="8"/>
    </row>
    <row r="193" customFormat="false" ht="15" hidden="false" customHeight="false" outlineLevel="0" collapsed="false">
      <c r="A193" s="7" t="s">
        <v>269</v>
      </c>
      <c r="B193" s="10"/>
      <c r="C193" s="8"/>
      <c r="D193" s="9"/>
      <c r="E193" s="13" t="str">
        <f aca="false">IF(B193="","",IFERROR(INDEX(Iniciativas!$J$2:$J$11,MATCH(B193,Iniciativas!$B$2:$B$11,0)),""))</f>
        <v/>
      </c>
      <c r="F193" s="7" t="str">
        <f aca="false">IF(OR(NOT(ISNUMBER(D193)),NOT(ISNUMBER(E193))),"",IF(D193&gt;E193,"Sí","No"))</f>
        <v/>
      </c>
      <c r="G193" s="10"/>
      <c r="H193" s="10"/>
      <c r="I193" s="10"/>
      <c r="J193" s="8"/>
      <c r="K193" s="7" t="str">
        <f aca="false">IF(OR(F193="",I193=""),"",IF(AND(F193="Sí",I193="Sí"),"Sí","No"))</f>
        <v/>
      </c>
      <c r="L193" s="10"/>
      <c r="M193" s="10"/>
      <c r="N193" s="8"/>
      <c r="O193" s="10"/>
      <c r="P193" s="10"/>
      <c r="Q193" s="7" t="str">
        <f aca="false">IF(OR(O193="",P193=""),"",IF(O193=P193,"Sí","No"))</f>
        <v/>
      </c>
      <c r="R193" s="10"/>
      <c r="S193" s="8"/>
      <c r="T193" s="8"/>
    </row>
    <row r="194" customFormat="false" ht="15" hidden="false" customHeight="false" outlineLevel="0" collapsed="false">
      <c r="A194" s="7" t="s">
        <v>270</v>
      </c>
      <c r="B194" s="10"/>
      <c r="C194" s="8"/>
      <c r="D194" s="9"/>
      <c r="E194" s="13" t="str">
        <f aca="false">IF(B194="","",IFERROR(INDEX(Iniciativas!$J$2:$J$11,MATCH(B194,Iniciativas!$B$2:$B$11,0)),""))</f>
        <v/>
      </c>
      <c r="F194" s="7" t="str">
        <f aca="false">IF(OR(NOT(ISNUMBER(D194)),NOT(ISNUMBER(E194))),"",IF(D194&gt;E194,"Sí","No"))</f>
        <v/>
      </c>
      <c r="G194" s="10"/>
      <c r="H194" s="10"/>
      <c r="I194" s="10"/>
      <c r="J194" s="8"/>
      <c r="K194" s="7" t="str">
        <f aca="false">IF(OR(F194="",I194=""),"",IF(AND(F194="Sí",I194="Sí"),"Sí","No"))</f>
        <v/>
      </c>
      <c r="L194" s="10"/>
      <c r="M194" s="10"/>
      <c r="N194" s="8"/>
      <c r="O194" s="10"/>
      <c r="P194" s="10"/>
      <c r="Q194" s="7" t="str">
        <f aca="false">IF(OR(O194="",P194=""),"",IF(O194=P194,"Sí","No"))</f>
        <v/>
      </c>
      <c r="R194" s="10"/>
      <c r="S194" s="8"/>
      <c r="T194" s="8"/>
    </row>
    <row r="195" customFormat="false" ht="15" hidden="false" customHeight="false" outlineLevel="0" collapsed="false">
      <c r="A195" s="7" t="s">
        <v>271</v>
      </c>
      <c r="B195" s="10"/>
      <c r="C195" s="8"/>
      <c r="D195" s="9"/>
      <c r="E195" s="13" t="str">
        <f aca="false">IF(B195="","",IFERROR(INDEX(Iniciativas!$J$2:$J$11,MATCH(B195,Iniciativas!$B$2:$B$11,0)),""))</f>
        <v/>
      </c>
      <c r="F195" s="7" t="str">
        <f aca="false">IF(OR(NOT(ISNUMBER(D195)),NOT(ISNUMBER(E195))),"",IF(D195&gt;E195,"Sí","No"))</f>
        <v/>
      </c>
      <c r="G195" s="10"/>
      <c r="H195" s="10"/>
      <c r="I195" s="10"/>
      <c r="J195" s="8"/>
      <c r="K195" s="7" t="str">
        <f aca="false">IF(OR(F195="",I195=""),"",IF(AND(F195="Sí",I195="Sí"),"Sí","No"))</f>
        <v/>
      </c>
      <c r="L195" s="10"/>
      <c r="M195" s="10"/>
      <c r="N195" s="8"/>
      <c r="O195" s="10"/>
      <c r="P195" s="10"/>
      <c r="Q195" s="7" t="str">
        <f aca="false">IF(OR(O195="",P195=""),"",IF(O195=P195,"Sí","No"))</f>
        <v/>
      </c>
      <c r="R195" s="10"/>
      <c r="S195" s="8"/>
      <c r="T195" s="8"/>
    </row>
    <row r="196" customFormat="false" ht="15" hidden="false" customHeight="false" outlineLevel="0" collapsed="false">
      <c r="A196" s="7" t="s">
        <v>272</v>
      </c>
      <c r="B196" s="10"/>
      <c r="C196" s="8"/>
      <c r="D196" s="9"/>
      <c r="E196" s="13" t="str">
        <f aca="false">IF(B196="","",IFERROR(INDEX(Iniciativas!$J$2:$J$11,MATCH(B196,Iniciativas!$B$2:$B$11,0)),""))</f>
        <v/>
      </c>
      <c r="F196" s="7" t="str">
        <f aca="false">IF(OR(NOT(ISNUMBER(D196)),NOT(ISNUMBER(E196))),"",IF(D196&gt;E196,"Sí","No"))</f>
        <v/>
      </c>
      <c r="G196" s="10"/>
      <c r="H196" s="10"/>
      <c r="I196" s="10"/>
      <c r="J196" s="8"/>
      <c r="K196" s="7" t="str">
        <f aca="false">IF(OR(F196="",I196=""),"",IF(AND(F196="Sí",I196="Sí"),"Sí","No"))</f>
        <v/>
      </c>
      <c r="L196" s="10"/>
      <c r="M196" s="10"/>
      <c r="N196" s="8"/>
      <c r="O196" s="10"/>
      <c r="P196" s="10"/>
      <c r="Q196" s="7" t="str">
        <f aca="false">IF(OR(O196="",P196=""),"",IF(O196=P196,"Sí","No"))</f>
        <v/>
      </c>
      <c r="R196" s="10"/>
      <c r="S196" s="8"/>
      <c r="T196" s="8"/>
    </row>
    <row r="197" customFormat="false" ht="15" hidden="false" customHeight="false" outlineLevel="0" collapsed="false">
      <c r="A197" s="7" t="s">
        <v>273</v>
      </c>
      <c r="B197" s="10"/>
      <c r="C197" s="8"/>
      <c r="D197" s="9"/>
      <c r="E197" s="13" t="str">
        <f aca="false">IF(B197="","",IFERROR(INDEX(Iniciativas!$J$2:$J$11,MATCH(B197,Iniciativas!$B$2:$B$11,0)),""))</f>
        <v/>
      </c>
      <c r="F197" s="7" t="str">
        <f aca="false">IF(OR(NOT(ISNUMBER(D197)),NOT(ISNUMBER(E197))),"",IF(D197&gt;E197,"Sí","No"))</f>
        <v/>
      </c>
      <c r="G197" s="10"/>
      <c r="H197" s="10"/>
      <c r="I197" s="10"/>
      <c r="J197" s="8"/>
      <c r="K197" s="7" t="str">
        <f aca="false">IF(OR(F197="",I197=""),"",IF(AND(F197="Sí",I197="Sí"),"Sí","No"))</f>
        <v/>
      </c>
      <c r="L197" s="10"/>
      <c r="M197" s="10"/>
      <c r="N197" s="8"/>
      <c r="O197" s="10"/>
      <c r="P197" s="10"/>
      <c r="Q197" s="7" t="str">
        <f aca="false">IF(OR(O197="",P197=""),"",IF(O197=P197,"Sí","No"))</f>
        <v/>
      </c>
      <c r="R197" s="10"/>
      <c r="S197" s="8"/>
      <c r="T197" s="8"/>
    </row>
    <row r="198" customFormat="false" ht="15" hidden="false" customHeight="false" outlineLevel="0" collapsed="false">
      <c r="A198" s="7" t="s">
        <v>274</v>
      </c>
      <c r="B198" s="10"/>
      <c r="C198" s="8"/>
      <c r="D198" s="9"/>
      <c r="E198" s="13" t="str">
        <f aca="false">IF(B198="","",IFERROR(INDEX(Iniciativas!$J$2:$J$11,MATCH(B198,Iniciativas!$B$2:$B$11,0)),""))</f>
        <v/>
      </c>
      <c r="F198" s="7" t="str">
        <f aca="false">IF(OR(NOT(ISNUMBER(D198)),NOT(ISNUMBER(E198))),"",IF(D198&gt;E198,"Sí","No"))</f>
        <v/>
      </c>
      <c r="G198" s="10"/>
      <c r="H198" s="10"/>
      <c r="I198" s="10"/>
      <c r="J198" s="8"/>
      <c r="K198" s="7" t="str">
        <f aca="false">IF(OR(F198="",I198=""),"",IF(AND(F198="Sí",I198="Sí"),"Sí","No"))</f>
        <v/>
      </c>
      <c r="L198" s="10"/>
      <c r="M198" s="10"/>
      <c r="N198" s="8"/>
      <c r="O198" s="10"/>
      <c r="P198" s="10"/>
      <c r="Q198" s="7" t="str">
        <f aca="false">IF(OR(O198="",P198=""),"",IF(O198=P198,"Sí","No"))</f>
        <v/>
      </c>
      <c r="R198" s="10"/>
      <c r="S198" s="8"/>
      <c r="T198" s="8"/>
    </row>
    <row r="199" customFormat="false" ht="15" hidden="false" customHeight="false" outlineLevel="0" collapsed="false">
      <c r="A199" s="7" t="s">
        <v>275</v>
      </c>
      <c r="B199" s="10"/>
      <c r="C199" s="8"/>
      <c r="D199" s="9"/>
      <c r="E199" s="13" t="str">
        <f aca="false">IF(B199="","",IFERROR(INDEX(Iniciativas!$J$2:$J$11,MATCH(B199,Iniciativas!$B$2:$B$11,0)),""))</f>
        <v/>
      </c>
      <c r="F199" s="7" t="str">
        <f aca="false">IF(OR(NOT(ISNUMBER(D199)),NOT(ISNUMBER(E199))),"",IF(D199&gt;E199,"Sí","No"))</f>
        <v/>
      </c>
      <c r="G199" s="10"/>
      <c r="H199" s="10"/>
      <c r="I199" s="10"/>
      <c r="J199" s="8"/>
      <c r="K199" s="7" t="str">
        <f aca="false">IF(OR(F199="",I199=""),"",IF(AND(F199="Sí",I199="Sí"),"Sí","No"))</f>
        <v/>
      </c>
      <c r="L199" s="10"/>
      <c r="M199" s="10"/>
      <c r="N199" s="8"/>
      <c r="O199" s="10"/>
      <c r="P199" s="10"/>
      <c r="Q199" s="7" t="str">
        <f aca="false">IF(OR(O199="",P199=""),"",IF(O199=P199,"Sí","No"))</f>
        <v/>
      </c>
      <c r="R199" s="10"/>
      <c r="S199" s="8"/>
      <c r="T199" s="8"/>
    </row>
    <row r="200" customFormat="false" ht="15" hidden="false" customHeight="false" outlineLevel="0" collapsed="false">
      <c r="A200" s="7" t="s">
        <v>276</v>
      </c>
      <c r="B200" s="10"/>
      <c r="C200" s="8"/>
      <c r="D200" s="9"/>
      <c r="E200" s="13" t="str">
        <f aca="false">IF(B200="","",IFERROR(INDEX(Iniciativas!$J$2:$J$11,MATCH(B200,Iniciativas!$B$2:$B$11,0)),""))</f>
        <v/>
      </c>
      <c r="F200" s="7" t="str">
        <f aca="false">IF(OR(NOT(ISNUMBER(D200)),NOT(ISNUMBER(E200))),"",IF(D200&gt;E200,"Sí","No"))</f>
        <v/>
      </c>
      <c r="G200" s="10"/>
      <c r="H200" s="10"/>
      <c r="I200" s="10"/>
      <c r="J200" s="8"/>
      <c r="K200" s="7" t="str">
        <f aca="false">IF(OR(F200="",I200=""),"",IF(AND(F200="Sí",I200="Sí"),"Sí","No"))</f>
        <v/>
      </c>
      <c r="L200" s="10"/>
      <c r="M200" s="10"/>
      <c r="N200" s="8"/>
      <c r="O200" s="10"/>
      <c r="P200" s="10"/>
      <c r="Q200" s="7" t="str">
        <f aca="false">IF(OR(O200="",P200=""),"",IF(O200=P200,"Sí","No"))</f>
        <v/>
      </c>
      <c r="R200" s="10"/>
      <c r="S200" s="8"/>
      <c r="T200" s="8"/>
    </row>
    <row r="201" customFormat="false" ht="15" hidden="false" customHeight="false" outlineLevel="0" collapsed="false">
      <c r="A201" s="7" t="s">
        <v>277</v>
      </c>
      <c r="B201" s="10"/>
      <c r="C201" s="8"/>
      <c r="D201" s="9"/>
      <c r="E201" s="13" t="str">
        <f aca="false">IF(B201="","",IFERROR(INDEX(Iniciativas!$J$2:$J$11,MATCH(B201,Iniciativas!$B$2:$B$11,0)),""))</f>
        <v/>
      </c>
      <c r="F201" s="7" t="str">
        <f aca="false">IF(OR(NOT(ISNUMBER(D201)),NOT(ISNUMBER(E201))),"",IF(D201&gt;E201,"Sí","No"))</f>
        <v/>
      </c>
      <c r="G201" s="10"/>
      <c r="H201" s="10"/>
      <c r="I201" s="10"/>
      <c r="J201" s="8"/>
      <c r="K201" s="7" t="str">
        <f aca="false">IF(OR(F201="",I201=""),"",IF(AND(F201="Sí",I201="Sí"),"Sí","No"))</f>
        <v/>
      </c>
      <c r="L201" s="10"/>
      <c r="M201" s="10"/>
      <c r="N201" s="8"/>
      <c r="O201" s="10"/>
      <c r="P201" s="10"/>
      <c r="Q201" s="7" t="str">
        <f aca="false">IF(OR(O201="",P201=""),"",IF(O201=P201,"Sí","No"))</f>
        <v/>
      </c>
      <c r="R201" s="10"/>
      <c r="S201" s="8"/>
      <c r="T201" s="8"/>
    </row>
  </sheetData>
  <dataValidations count="7">
    <dataValidation allowBlank="true" errorStyle="stop" operator="between" showDropDown="false" showErrorMessage="false" showInputMessage="false" sqref="B2:B201" type="list">
      <formula1>Iniciativas!$B$2:$B$11</formula1>
      <formula2>0</formula2>
    </dataValidation>
    <dataValidation allowBlank="true" errorStyle="stop" operator="between" showDropDown="false" showErrorMessage="false" showInputMessage="false" sqref="H2:H201" type="list">
      <formula1>"Pedido o redefinición,Prueba con usuarios,Información que no existía al inicio"</formula1>
      <formula2>0</formula2>
    </dataValidation>
    <dataValidation allowBlank="true" errorStyle="stop" operator="between" showDropDown="false" showErrorMessage="false" showInputMessage="false" sqref="I2:I201" type="list">
      <formula1>"Sí,No"</formula1>
      <formula2>0</formula2>
    </dataValidation>
    <dataValidation allowBlank="true" errorStyle="stop" operator="between" showDropDown="false" showErrorMessage="false" showInputMessage="false" sqref="L2:L201" type="list">
      <formula1>"1 Reglas de negocio,2 Legal o compliance,3 Alcance,Ninguno"</formula1>
      <formula2>0</formula2>
    </dataValidation>
    <dataValidation allowBlank="true" errorStyle="stop" operator="between" showDropDown="false" showErrorMessage="false" showInputMessage="false" sqref="M2:M201" type="list">
      <formula1>"Sí,No"</formula1>
      <formula2>0</formula2>
    </dataValidation>
    <dataValidation allowBlank="true" errorStyle="stop" operator="between" showDropDown="false" showErrorMessage="false" showInputMessage="false" sqref="O2:P201" type="list">
      <formula1>"Detectable,No detectable"</formula1>
      <formula2>0</formula2>
    </dataValidation>
    <dataValidation allowBlank="true" errorStyle="stop" operator="between" showDropDown="false" showErrorMessage="false" showInputMessage="false" sqref="R2:R201" type="list">
      <formula1>"Detectable,No detectable"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6B6B"/>
    <pageSetUpPr fitToPage="false"/>
  </sheetPr>
  <dimension ref="B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2"/>
    <col collapsed="false" customWidth="true" hidden="false" outlineLevel="0" max="3" min="3" style="0" width="40"/>
    <col collapsed="false" customWidth="true" hidden="false" outlineLevel="0" max="4" min="4" style="0" width="60"/>
  </cols>
  <sheetData>
    <row r="1" customFormat="false" ht="16.15" hidden="false" customHeight="false" outlineLevel="0" collapsed="false">
      <c r="B1" s="14" t="s">
        <v>278</v>
      </c>
    </row>
    <row r="2" customFormat="false" ht="22.35" hidden="false" customHeight="false" outlineLevel="0" collapsed="false">
      <c r="B2" s="15" t="s">
        <v>279</v>
      </c>
    </row>
    <row r="4" customFormat="false" ht="15" hidden="false" customHeight="false" outlineLevel="0" collapsed="false">
      <c r="B4" s="3" t="s">
        <v>280</v>
      </c>
    </row>
    <row r="5" customFormat="false" ht="15" hidden="false" customHeight="false" outlineLevel="0" collapsed="false">
      <c r="B5" s="2" t="s">
        <v>281</v>
      </c>
      <c r="C5" s="16" t="n">
        <v>0.3</v>
      </c>
      <c r="D5" s="15" t="s">
        <v>282</v>
      </c>
    </row>
    <row r="6" customFormat="false" ht="15" hidden="false" customHeight="false" outlineLevel="0" collapsed="false">
      <c r="B6" s="2" t="s">
        <v>283</v>
      </c>
      <c r="C6" s="16" t="n">
        <v>0.6</v>
      </c>
      <c r="D6" s="15" t="s">
        <v>284</v>
      </c>
    </row>
    <row r="7" customFormat="false" ht="15" hidden="false" customHeight="false" outlineLevel="0" collapsed="false">
      <c r="B7" s="2" t="s">
        <v>285</v>
      </c>
      <c r="C7" s="16" t="n">
        <v>0.4</v>
      </c>
      <c r="D7" s="15" t="s">
        <v>286</v>
      </c>
    </row>
    <row r="8" customFormat="false" ht="15" hidden="false" customHeight="false" outlineLevel="0" collapsed="false">
      <c r="B8" s="2" t="s">
        <v>287</v>
      </c>
      <c r="C8" s="17" t="n">
        <v>6</v>
      </c>
      <c r="D8" s="15" t="s">
        <v>288</v>
      </c>
    </row>
    <row r="9" customFormat="false" ht="15" hidden="false" customHeight="false" outlineLevel="0" collapsed="false">
      <c r="B9" s="2" t="s">
        <v>289</v>
      </c>
      <c r="C9" s="17" t="n">
        <v>10</v>
      </c>
      <c r="D9" s="15" t="s">
        <v>288</v>
      </c>
    </row>
    <row r="10" customFormat="false" ht="15" hidden="false" customHeight="false" outlineLevel="0" collapsed="false">
      <c r="B10" s="2" t="s">
        <v>290</v>
      </c>
      <c r="C10" s="16" t="n">
        <v>0.7</v>
      </c>
      <c r="D10" s="15" t="s">
        <v>288</v>
      </c>
    </row>
    <row r="12" customFormat="false" ht="15" hidden="false" customHeight="false" outlineLevel="0" collapsed="false">
      <c r="B12" s="3" t="s">
        <v>291</v>
      </c>
    </row>
    <row r="13" customFormat="false" ht="15" hidden="false" customHeight="false" outlineLevel="0" collapsed="false">
      <c r="B13" s="2" t="s">
        <v>292</v>
      </c>
      <c r="C13" s="18"/>
      <c r="D13" s="15" t="s">
        <v>293</v>
      </c>
    </row>
    <row r="14" customFormat="false" ht="15" hidden="false" customHeight="false" outlineLevel="0" collapsed="false">
      <c r="B14" s="2" t="s">
        <v>294</v>
      </c>
      <c r="C14" s="18"/>
      <c r="D14" s="15" t="s">
        <v>295</v>
      </c>
    </row>
    <row r="15" customFormat="false" ht="15" hidden="false" customHeight="false" outlineLevel="0" collapsed="false">
      <c r="B15" s="2" t="s">
        <v>296</v>
      </c>
      <c r="C15" s="18"/>
      <c r="D15" s="15" t="s">
        <v>297</v>
      </c>
    </row>
    <row r="17" customFormat="false" ht="15" hidden="false" customHeight="false" outlineLevel="0" collapsed="false">
      <c r="B17" s="3" t="s">
        <v>298</v>
      </c>
    </row>
    <row r="18" customFormat="false" ht="15" hidden="false" customHeight="false" outlineLevel="0" collapsed="false">
      <c r="B18" s="2" t="s">
        <v>299</v>
      </c>
      <c r="C18" s="17" t="n">
        <f aca="false">COUNTA(Iniciativas!$C$2:$C$11)</f>
        <v>0</v>
      </c>
    </row>
    <row r="19" customFormat="false" ht="15" hidden="false" customHeight="false" outlineLevel="0" collapsed="false">
      <c r="B19" s="2" t="s">
        <v>300</v>
      </c>
      <c r="C19" s="17" t="n">
        <f aca="false">COUNTIF(Iniciativas!$H$2:$H$11,"Sí")</f>
        <v>0</v>
      </c>
      <c r="D19" s="15" t="s">
        <v>301</v>
      </c>
    </row>
    <row r="20" customFormat="false" ht="15" hidden="false" customHeight="false" outlineLevel="0" collapsed="false">
      <c r="B20" s="2" t="s">
        <v>302</v>
      </c>
      <c r="C20" s="17" t="n">
        <f aca="false">COUNTIF(Iniciativas!$O$2:$O$11,"&gt;0")</f>
        <v>0</v>
      </c>
    </row>
    <row r="21" customFormat="false" ht="15" hidden="false" customHeight="false" outlineLevel="0" collapsed="false">
      <c r="B21" s="2" t="s">
        <v>303</v>
      </c>
      <c r="C21" s="17" t="n">
        <f aca="false">COUNTIF(Cambios!$K$2:$K$201,"Sí")</f>
        <v>0</v>
      </c>
      <c r="D21" s="15" t="s">
        <v>304</v>
      </c>
    </row>
    <row r="22" customFormat="false" ht="15" hidden="false" customHeight="false" outlineLevel="0" collapsed="false">
      <c r="B22" s="2" t="s">
        <v>305</v>
      </c>
      <c r="C22" s="17" t="n">
        <f aca="false">COUNTIFS(Cambios!$K$2:$K$201,"Sí",Cambios!$O$2:$O$201,"?*",Cambios!$P$2:$P$201,"?*")</f>
        <v>0</v>
      </c>
    </row>
    <row r="23" customFormat="false" ht="15" hidden="false" customHeight="false" outlineLevel="0" collapsed="false">
      <c r="B23" s="2" t="s">
        <v>306</v>
      </c>
      <c r="C23" s="17" t="n">
        <f aca="false">COUNTIFS(Cambios!$K$2:$K$201,"Sí",Cambios!$Q$2:$Q$201,"Sí")</f>
        <v>0</v>
      </c>
    </row>
    <row r="24" customFormat="false" ht="15" hidden="false" customHeight="false" outlineLevel="0" collapsed="false">
      <c r="B24" s="2" t="s">
        <v>307</v>
      </c>
      <c r="C24" s="17" t="n">
        <f aca="false">COUNTIFS(Cambios!$K$2:$K$201,"Sí",Cambios!$R$2:$R$201,"?*")</f>
        <v>0</v>
      </c>
    </row>
    <row r="25" customFormat="false" ht="15" hidden="false" customHeight="false" outlineLevel="0" collapsed="false">
      <c r="B25" s="2" t="s">
        <v>308</v>
      </c>
      <c r="C25" s="17" t="n">
        <f aca="false">COUNTIFS(Cambios!$K$2:$K$201,"Sí",Cambios!$R$2:$R$201,"Detectable")</f>
        <v>0</v>
      </c>
    </row>
    <row r="27" customFormat="false" ht="15" hidden="false" customHeight="false" outlineLevel="0" collapsed="false">
      <c r="B27" s="3" t="s">
        <v>309</v>
      </c>
    </row>
    <row r="28" customFormat="false" ht="15" hidden="false" customHeight="false" outlineLevel="0" collapsed="false">
      <c r="B28" s="2" t="s">
        <v>310</v>
      </c>
      <c r="C28" s="16" t="str">
        <f aca="false">IF(C22=0,"",C23/C22)</f>
        <v/>
      </c>
    </row>
    <row r="29" customFormat="false" ht="15" hidden="false" customHeight="false" outlineLevel="0" collapsed="false">
      <c r="B29" s="2" t="s">
        <v>311</v>
      </c>
      <c r="C29" s="16" t="str">
        <f aca="false">IF(C21=0,"",C25/C21)</f>
        <v/>
      </c>
    </row>
    <row r="31" customFormat="false" ht="15" hidden="false" customHeight="false" outlineLevel="0" collapsed="false">
      <c r="B31" s="3" t="s">
        <v>312</v>
      </c>
    </row>
    <row r="32" customFormat="false" ht="15" hidden="false" customHeight="false" outlineLevel="0" collapsed="false">
      <c r="B32" s="2" t="s">
        <v>313</v>
      </c>
      <c r="C32" s="17" t="str">
        <f aca="false">IF(C20&gt;=C8,"Sí","No")</f>
        <v>No</v>
      </c>
    </row>
    <row r="33" customFormat="false" ht="15" hidden="false" customHeight="false" outlineLevel="0" collapsed="false">
      <c r="B33" s="2" t="s">
        <v>314</v>
      </c>
      <c r="C33" s="17" t="str">
        <f aca="false">IF(C21&gt;=C9,"Sí","No")</f>
        <v>No</v>
      </c>
    </row>
    <row r="34" customFormat="false" ht="15" hidden="false" customHeight="false" outlineLevel="0" collapsed="false">
      <c r="B34" s="2" t="s">
        <v>315</v>
      </c>
      <c r="C34" s="17" t="str">
        <f aca="false">IF(C28="","No",IF(C28&gt;=C10,"Sí","No"))</f>
        <v>No</v>
      </c>
    </row>
    <row r="35" customFormat="false" ht="15" hidden="false" customHeight="false" outlineLevel="0" collapsed="false">
      <c r="B35" s="2" t="s">
        <v>316</v>
      </c>
      <c r="C35" s="17" t="str">
        <f aca="false">IF(AND(C21&gt;0,C24=C21),"Sí","No")</f>
        <v>No</v>
      </c>
    </row>
    <row r="37" customFormat="false" ht="15" hidden="false" customHeight="false" outlineLevel="0" collapsed="false">
      <c r="B37" s="3" t="s">
        <v>317</v>
      </c>
    </row>
    <row r="38" customFormat="false" ht="22.35" hidden="false" customHeight="false" outlineLevel="0" collapsed="false">
      <c r="B38" s="2" t="s">
        <v>318</v>
      </c>
      <c r="C38" s="19" t="str">
        <f aca="false">IF(C35="No","falta completar",IF(OR(C32="No",C33="No",C34="No"),"inconclusive",IF(C29&gt;=C6,"passed","failed")))</f>
        <v>falta completar</v>
      </c>
      <c r="D38" s="15" t="s">
        <v>319</v>
      </c>
    </row>
    <row r="39" customFormat="false" ht="15" hidden="false" customHeight="false" outlineLevel="0" collapsed="false">
      <c r="B39" s="2" t="s">
        <v>320</v>
      </c>
      <c r="C39" s="19" t="str">
        <f aca="false">IF(C38="falta completar","",IF(C38="inconclusive","inconclusive: no se decide con este resultado",IF(C29&gt;=C6,"continue → T2",IF(C29&gt;=C7,"change → criterio limitado a los ítems que detectaron cambios, A3 para el resto; la versión combinada necesita su propio test","discard → pasa A3; T2 no se corre"))))</f>
        <v/>
      </c>
    </row>
    <row r="41" customFormat="false" ht="15" hidden="false" customHeight="false" outlineLevel="0" collapsed="false">
      <c r="B41" s="3" t="s">
        <v>321</v>
      </c>
    </row>
    <row r="42" customFormat="false" ht="15" hidden="false" customHeight="false" outlineLevel="0" collapsed="false">
      <c r="B42" s="2" t="s">
        <v>42</v>
      </c>
      <c r="C42" s="17" t="n">
        <f aca="false">COUNTIFS(Cambios!$K$2:$K$201,"Sí",Cambios!$L$2:$L$201,"1 Reglas de negocio",Cambios!$R$2:$R$201,"Detectable")</f>
        <v>0</v>
      </c>
      <c r="D42" s="15" t="s">
        <v>322</v>
      </c>
    </row>
    <row r="43" customFormat="false" ht="15" hidden="false" customHeight="false" outlineLevel="0" collapsed="false">
      <c r="B43" s="2" t="s">
        <v>323</v>
      </c>
      <c r="C43" s="17" t="n">
        <f aca="false">COUNTIFS(Cambios!$K$2:$K$201,"Sí",Cambios!$L$2:$L$201,"2 Legal o compliance",Cambios!$R$2:$R$201,"Detectable")</f>
        <v>0</v>
      </c>
    </row>
    <row r="44" customFormat="false" ht="15" hidden="false" customHeight="false" outlineLevel="0" collapsed="false">
      <c r="B44" s="2" t="s">
        <v>324</v>
      </c>
      <c r="C44" s="17" t="n">
        <f aca="false">COUNTIFS(Cambios!$K$2:$K$201,"Sí",Cambios!$L$2:$L$201,"3 Alcance",Cambios!$R$2:$R$201,"Detectable")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2026-10-17T15:22:08Z</dcterms:created>
  <dc:creator>openpyxl</dc:creator>
  <dc:description/>
  <dc:language>en-US</dc:language>
  <cp:lastModifiedBy/>
  <dcterms:modified xsi:type="dcterms:W3CDTF">2026-10-17T15:22:08Z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